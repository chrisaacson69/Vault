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.Isaacson\Vault\projects\game-annotation\nobunaga\"/>
    </mc:Choice>
  </mc:AlternateContent>
  <xr:revisionPtr revIDLastSave="0" documentId="13_ncr:1_{C1BCCF03-F6CD-4608-B6D9-909CE8A2401A}" xr6:coauthVersionLast="47" xr6:coauthVersionMax="47" xr10:uidLastSave="{00000000-0000-0000-0000-000000000000}"/>
  <bookViews>
    <workbookView xWindow="28680" yWindow="-255" windowWidth="29040" windowHeight="17520" xr2:uid="{FDB40808-8C5F-486C-AF63-A8D18F3A0A01}"/>
  </bookViews>
  <sheets>
    <sheet name="17fief" sheetId="1" r:id="rId1"/>
    <sheet name="Sheet2" sheetId="3" r:id="rId2"/>
    <sheet name="Sheet1" sheetId="2" r:id="rId3"/>
  </sheets>
  <definedNames>
    <definedName name="_xlnm._FilterDatabase" localSheetId="0" hidden="1">'17fief'!$A$1:$AN$18</definedName>
    <definedName name="_xlnm._FilterDatabase" localSheetId="2" hidden="1">Sheet1!$A$2:$B$13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8" i="1" l="1"/>
  <c r="AP8" i="1"/>
  <c r="AS18" i="1"/>
  <c r="AS17" i="1"/>
  <c r="AS16" i="1"/>
  <c r="AS15" i="1"/>
  <c r="AS14" i="1"/>
  <c r="AS13" i="1"/>
  <c r="AS12" i="1"/>
  <c r="AS11" i="1"/>
  <c r="AS10" i="1"/>
  <c r="AS9" i="1"/>
  <c r="AS8" i="1"/>
  <c r="AR18" i="1"/>
  <c r="AQ18" i="1"/>
  <c r="AQ17" i="1"/>
  <c r="AR17" i="1" s="1"/>
  <c r="AQ16" i="1"/>
  <c r="AR16" i="1" s="1"/>
  <c r="AQ15" i="1"/>
  <c r="AR15" i="1" s="1"/>
  <c r="AQ14" i="1"/>
  <c r="AR14" i="1" s="1"/>
  <c r="AQ13" i="1"/>
  <c r="AR13" i="1" s="1"/>
  <c r="AQ12" i="1"/>
  <c r="AR12" i="1" s="1"/>
  <c r="AQ11" i="1"/>
  <c r="AR11" i="1" s="1"/>
  <c r="AQ10" i="1"/>
  <c r="AR10" i="1" s="1"/>
  <c r="AQ9" i="1"/>
  <c r="AR9" i="1" s="1"/>
  <c r="AR8" i="1"/>
  <c r="AP18" i="1"/>
  <c r="AP17" i="1"/>
  <c r="AP16" i="1"/>
  <c r="AP15" i="1"/>
  <c r="AP14" i="1"/>
  <c r="AP13" i="1"/>
  <c r="AP12" i="1"/>
  <c r="AP11" i="1"/>
  <c r="AP10" i="1"/>
  <c r="AP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N5" i="1"/>
  <c r="AN10" i="1"/>
  <c r="AN9" i="1"/>
  <c r="AN6" i="1"/>
  <c r="AN17" i="1"/>
  <c r="AN18" i="1"/>
  <c r="AN14" i="1"/>
  <c r="AN8" i="1"/>
  <c r="AN7" i="1"/>
  <c r="AN15" i="1"/>
  <c r="AN3" i="1"/>
  <c r="AN16" i="1"/>
  <c r="AN2" i="1"/>
  <c r="AN12" i="1"/>
  <c r="AN11" i="1"/>
  <c r="AN13" i="1"/>
  <c r="AN4" i="1"/>
  <c r="AM15" i="1"/>
  <c r="AM17" i="1"/>
  <c r="AM14" i="1"/>
  <c r="AM18" i="1"/>
  <c r="AM4" i="1"/>
  <c r="AM6" i="1"/>
  <c r="AM16" i="1"/>
  <c r="AM10" i="1"/>
  <c r="AM12" i="1"/>
  <c r="AM13" i="1"/>
  <c r="AM9" i="1"/>
  <c r="AM8" i="1"/>
  <c r="AM5" i="1"/>
  <c r="AM2" i="1"/>
  <c r="AM11" i="1"/>
  <c r="AM3" i="1"/>
  <c r="AM7" i="1"/>
  <c r="P7" i="1"/>
  <c r="AL15" i="1"/>
  <c r="AL14" i="1"/>
  <c r="AL4" i="1"/>
  <c r="AL17" i="1"/>
  <c r="AL18" i="1"/>
  <c r="AL16" i="1"/>
  <c r="AL6" i="1"/>
  <c r="AL12" i="1"/>
  <c r="AL13" i="1"/>
  <c r="AL8" i="1"/>
  <c r="AL11" i="1"/>
  <c r="AL2" i="1"/>
  <c r="AL5" i="1"/>
  <c r="AL10" i="1"/>
  <c r="AL3" i="1"/>
  <c r="AL9" i="1"/>
  <c r="AL7" i="1"/>
  <c r="AI15" i="1"/>
  <c r="AI17" i="1"/>
  <c r="AI14" i="1"/>
  <c r="AI4" i="1"/>
  <c r="AI18" i="1"/>
  <c r="AI6" i="1"/>
  <c r="AI16" i="1"/>
  <c r="AI10" i="1"/>
  <c r="AI12" i="1"/>
  <c r="AI13" i="1"/>
  <c r="AI9" i="1"/>
  <c r="AI8" i="1"/>
  <c r="AI5" i="1"/>
  <c r="AI2" i="1"/>
  <c r="AI11" i="1"/>
  <c r="AI3" i="1"/>
  <c r="AI7" i="1"/>
  <c r="Q7" i="1"/>
  <c r="Q5" i="1"/>
  <c r="Q8" i="1"/>
  <c r="Q16" i="1"/>
  <c r="Q9" i="1"/>
  <c r="Q15" i="1"/>
  <c r="Q13" i="1"/>
  <c r="Q14" i="1"/>
  <c r="Q17" i="1"/>
  <c r="Q3" i="1"/>
  <c r="Q10" i="1"/>
  <c r="Q6" i="1"/>
  <c r="Q12" i="1"/>
  <c r="Q4" i="1"/>
  <c r="Q11" i="1"/>
  <c r="Q2" i="1"/>
  <c r="Q18" i="1"/>
  <c r="P5" i="1"/>
  <c r="P8" i="1"/>
  <c r="P16" i="1"/>
  <c r="P9" i="1"/>
  <c r="P15" i="1"/>
  <c r="P13" i="1"/>
  <c r="P14" i="1"/>
  <c r="P17" i="1"/>
  <c r="P3" i="1"/>
  <c r="P10" i="1"/>
  <c r="P6" i="1"/>
  <c r="P12" i="1"/>
  <c r="P4" i="1"/>
  <c r="P11" i="1"/>
  <c r="P2" i="1"/>
  <c r="P18" i="1"/>
  <c r="Z7" i="1"/>
  <c r="Z5" i="1"/>
  <c r="Z8" i="1"/>
  <c r="Z16" i="1"/>
  <c r="Z9" i="1"/>
  <c r="Z15" i="1"/>
  <c r="Z13" i="1"/>
  <c r="Z14" i="1"/>
  <c r="Z17" i="1"/>
  <c r="Z3" i="1"/>
  <c r="Z10" i="1"/>
  <c r="Z6" i="1"/>
  <c r="Z12" i="1"/>
  <c r="Z4" i="1"/>
  <c r="Z11" i="1"/>
  <c r="Z2" i="1"/>
  <c r="Z18" i="1"/>
  <c r="AD12" i="1" l="1"/>
  <c r="AD8" i="1"/>
  <c r="AD16" i="1"/>
  <c r="AD5" i="1"/>
  <c r="AD7" i="1"/>
  <c r="AD15" i="1"/>
  <c r="AD11" i="1"/>
  <c r="AD13" i="1"/>
  <c r="AD6" i="1"/>
  <c r="AD3" i="1"/>
  <c r="AD17" i="1"/>
  <c r="AD18" i="1"/>
  <c r="AD9" i="1"/>
  <c r="AD2" i="1"/>
  <c r="AD4" i="1"/>
  <c r="AD10" i="1"/>
  <c r="AD14" i="1"/>
</calcChain>
</file>

<file path=xl/sharedStrings.xml><?xml version="1.0" encoding="utf-8"?>
<sst xmlns="http://schemas.openxmlformats.org/spreadsheetml/2006/main" count="204" uniqueCount="130">
  <si>
    <t>idx</t>
  </si>
  <si>
    <t>name</t>
  </si>
  <si>
    <t>header</t>
  </si>
  <si>
    <t>gold</t>
  </si>
  <si>
    <t>debt</t>
  </si>
  <si>
    <t>town</t>
  </si>
  <si>
    <t>rice</t>
  </si>
  <si>
    <t>output</t>
  </si>
  <si>
    <t>dams</t>
  </si>
  <si>
    <t>loyalty</t>
  </si>
  <si>
    <t>wealth</t>
  </si>
  <si>
    <t>men</t>
  </si>
  <si>
    <t>morale</t>
  </si>
  <si>
    <t>skill</t>
  </si>
  <si>
    <t>arms</t>
  </si>
  <si>
    <t>Noto</t>
  </si>
  <si>
    <t>Echigo</t>
  </si>
  <si>
    <t>Musashi</t>
  </si>
  <si>
    <t>Kaga</t>
  </si>
  <si>
    <t>Echizen</t>
  </si>
  <si>
    <t>Hida</t>
  </si>
  <si>
    <t>Suruga</t>
  </si>
  <si>
    <t>Mikawa</t>
  </si>
  <si>
    <t>Mino</t>
  </si>
  <si>
    <t>Yamato</t>
  </si>
  <si>
    <t>Omi</t>
  </si>
  <si>
    <t>Iga</t>
  </si>
  <si>
    <t>Iseshima</t>
  </si>
  <si>
    <t>Yamashir</t>
  </si>
  <si>
    <t>Settsu</t>
  </si>
  <si>
    <t>Shinano</t>
  </si>
  <si>
    <t>Owari</t>
  </si>
  <si>
    <t>clan</t>
  </si>
  <si>
    <t>age</t>
  </si>
  <si>
    <t>health</t>
  </si>
  <si>
    <t>drive</t>
  </si>
  <si>
    <t>luck</t>
  </si>
  <si>
    <t>charisma</t>
  </si>
  <si>
    <t>iq</t>
  </si>
  <si>
    <t>status</t>
  </si>
  <si>
    <t>Hatakeya</t>
  </si>
  <si>
    <t>Uesugi</t>
  </si>
  <si>
    <t>Hojo</t>
  </si>
  <si>
    <t>Honganji</t>
  </si>
  <si>
    <t>Asakura</t>
  </si>
  <si>
    <t>Anekoji</t>
  </si>
  <si>
    <t>Imagawa</t>
  </si>
  <si>
    <t>Tokugawa</t>
  </si>
  <si>
    <t>Saito</t>
  </si>
  <si>
    <t>Tsutsui</t>
  </si>
  <si>
    <t>Asai</t>
  </si>
  <si>
    <t>Rokkaku</t>
  </si>
  <si>
    <t>Kitabata</t>
  </si>
  <si>
    <t>Ashikaga</t>
  </si>
  <si>
    <t>Miyoshi</t>
  </si>
  <si>
    <t>Takeda</t>
  </si>
  <si>
    <t>Oda</t>
  </si>
  <si>
    <t>Mil</t>
  </si>
  <si>
    <t>pow</t>
  </si>
  <si>
    <t>RM</t>
  </si>
  <si>
    <t>RT</t>
  </si>
  <si>
    <t>RP</t>
  </si>
  <si>
    <t>BV</t>
  </si>
  <si>
    <t>S</t>
  </si>
  <si>
    <t>C</t>
  </si>
  <si>
    <t>A</t>
  </si>
  <si>
    <t>B</t>
  </si>
  <si>
    <t>D</t>
  </si>
  <si>
    <t>F</t>
  </si>
  <si>
    <t>2,3,15</t>
  </si>
  <si>
    <t>1,6,15</t>
  </si>
  <si>
    <t>0,1,4,5,15</t>
  </si>
  <si>
    <t>3,5,8,10</t>
  </si>
  <si>
    <t>3,4,8,15</t>
  </si>
  <si>
    <t>2,7,15</t>
  </si>
  <si>
    <t>6,8,15,16</t>
  </si>
  <si>
    <t>4,5,7,10,12,15,16</t>
  </si>
  <si>
    <t>11,12,13,14</t>
  </si>
  <si>
    <t>4,8,11,12,13</t>
  </si>
  <si>
    <t>9,10,12,13</t>
  </si>
  <si>
    <t>8,9,10,11,16</t>
  </si>
  <si>
    <t>3</t>
  </si>
  <si>
    <t>9,10,11,14</t>
  </si>
  <si>
    <t>9,13</t>
  </si>
  <si>
    <t>1,2,3,5,6,7,8</t>
  </si>
  <si>
    <t>7,8,12</t>
  </si>
  <si>
    <t>Rk</t>
  </si>
  <si>
    <t>Adj</t>
  </si>
  <si>
    <t>AJP</t>
  </si>
  <si>
    <t>2,16,7</t>
  </si>
  <si>
    <t>10,16,5,1</t>
  </si>
  <si>
    <t>AvAdP</t>
  </si>
  <si>
    <t>4,10,5</t>
  </si>
  <si>
    <t>3,13,5</t>
  </si>
  <si>
    <t>4,3,13,12,10,2,16</t>
  </si>
  <si>
    <t>15,11</t>
  </si>
  <si>
    <t>16,15,8,17,1</t>
  </si>
  <si>
    <t>9,16,17,7,11</t>
  </si>
  <si>
    <t>13,12,16,8</t>
  </si>
  <si>
    <t>3,2,5</t>
  </si>
  <si>
    <t>15,8,17,6</t>
  </si>
  <si>
    <t>13,9,16,5</t>
  </si>
  <si>
    <t>13</t>
  </si>
  <si>
    <t>14,4,9,12,5</t>
  </si>
  <si>
    <t>17,7,11,6</t>
  </si>
  <si>
    <t>9,12,2,8,7,5,1</t>
  </si>
  <si>
    <t>15,8,7,11</t>
  </si>
  <si>
    <t>AvAdjA</t>
  </si>
  <si>
    <t>AdjA</t>
  </si>
  <si>
    <t>AdjR</t>
  </si>
  <si>
    <t>AdjAR</t>
  </si>
  <si>
    <t>3,14,2</t>
  </si>
  <si>
    <t>14,16,9,17,1</t>
  </si>
  <si>
    <t>4,14,5,1</t>
  </si>
  <si>
    <t>7,3,5</t>
  </si>
  <si>
    <t>6,7,15,11,4,3,14</t>
  </si>
  <si>
    <t>7,15,5</t>
  </si>
  <si>
    <t>6,4,5</t>
  </si>
  <si>
    <t>16,12</t>
  </si>
  <si>
    <t>10,14,17,2,12</t>
  </si>
  <si>
    <t>15,11,14,9</t>
  </si>
  <si>
    <t>15,10,14,5</t>
  </si>
  <si>
    <t>16,9,17,8</t>
  </si>
  <si>
    <t>15</t>
  </si>
  <si>
    <t>10,11,3,9,2,5,1</t>
  </si>
  <si>
    <t>13,6,10,11,5</t>
  </si>
  <si>
    <t>17,2,12,8</t>
  </si>
  <si>
    <t>16,9,2,12</t>
  </si>
  <si>
    <t>xsRice</t>
  </si>
  <si>
    <t>riottax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</si>
</sst>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4" fillId="0" borderId="0" xfId="0" applyFont="1"/>
    <xf numFmtId="0" fontId="18" fillId="0" borderId="0" xfId="0" applyFont="1"/>
    <xf numFmtId="0" fontId="19" fillId="0" borderId="0" xfId="0" quotePrefix="1" applyFont="1"/>
    <xf numFmtId="0" fontId="0" fillId="33" borderId="0" xfId="0" applyFill="1"/>
    <xf numFmtId="0" fontId="0" fillId="34" borderId="0" xfId="0" applyFill="1"/>
    <xf numFmtId="0" fontId="0" fillId="0" borderId="0" xfId="0" quotePrefix="1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DEAF-4754-41E1-A6D8-10B03E1EEF36}">
  <dimension ref="A1:AS27"/>
  <sheetViews>
    <sheetView tabSelected="1" workbookViewId="0">
      <selection activeCell="AR8" sqref="AR8:AS8"/>
    </sheetView>
  </sheetViews>
  <sheetFormatPr defaultRowHeight="15" x14ac:dyDescent="0.25"/>
  <cols>
    <col min="1" max="1" width="3.5703125" bestFit="1" customWidth="1"/>
    <col min="2" max="2" width="9.42578125" bestFit="1" customWidth="1"/>
    <col min="3" max="3" width="7.140625" bestFit="1" customWidth="1"/>
    <col min="4" max="5" width="4.85546875" bestFit="1" customWidth="1"/>
    <col min="6" max="6" width="5.28515625" bestFit="1" customWidth="1"/>
    <col min="7" max="7" width="4.28515625" bestFit="1" customWidth="1"/>
    <col min="8" max="8" width="5.42578125" customWidth="1"/>
    <col min="9" max="9" width="6" bestFit="1" customWidth="1"/>
    <col min="10" max="10" width="5.140625" customWidth="1"/>
    <col min="11" max="11" width="4.7109375" customWidth="1"/>
    <col min="12" max="12" width="4.85546875" bestFit="1" customWidth="1"/>
    <col min="13" max="13" width="5.140625" customWidth="1"/>
    <col min="14" max="14" width="4.7109375" bestFit="1" customWidth="1"/>
    <col min="15" max="15" width="5.5703125" bestFit="1" customWidth="1"/>
    <col min="16" max="16" width="5.5703125" customWidth="1"/>
    <col min="17" max="17" width="5.28515625" bestFit="1" customWidth="1"/>
    <col min="18" max="18" width="10" bestFit="1" customWidth="1"/>
    <col min="19" max="19" width="4.140625" bestFit="1" customWidth="1"/>
    <col min="20" max="20" width="6.5703125" bestFit="1" customWidth="1"/>
    <col min="21" max="21" width="5.28515625" bestFit="1" customWidth="1"/>
    <col min="22" max="22" width="4.7109375" bestFit="1" customWidth="1"/>
    <col min="23" max="23" width="9.42578125" bestFit="1" customWidth="1"/>
    <col min="24" max="24" width="4" bestFit="1" customWidth="1"/>
    <col min="25" max="25" width="6.42578125" bestFit="1" customWidth="1"/>
    <col min="26" max="26" width="6.7109375" customWidth="1"/>
    <col min="27" max="27" width="4.42578125" customWidth="1"/>
    <col min="28" max="28" width="4" customWidth="1"/>
    <col min="29" max="29" width="4.42578125" customWidth="1"/>
    <col min="30" max="30" width="6.28515625" customWidth="1"/>
    <col min="31" max="31" width="4.42578125" customWidth="1"/>
    <col min="32" max="32" width="15.5703125" bestFit="1" customWidth="1"/>
    <col min="33" max="33" width="12.28515625" hidden="1" customWidth="1"/>
    <col min="34" max="34" width="5.85546875" hidden="1" customWidth="1"/>
    <col min="35" max="35" width="7.140625" customWidth="1"/>
    <col min="36" max="36" width="11.28515625" hidden="1" customWidth="1"/>
    <col min="37" max="37" width="7" hidden="1" customWidth="1"/>
    <col min="38" max="38" width="6.140625" bestFit="1" customWidth="1"/>
    <col min="39" max="39" width="4.425781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57</v>
      </c>
      <c r="Q1" t="s">
        <v>5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  <c r="X1" t="s">
        <v>38</v>
      </c>
      <c r="Y1" t="s">
        <v>39</v>
      </c>
      <c r="Z1" t="s">
        <v>58</v>
      </c>
      <c r="AA1" t="s">
        <v>59</v>
      </c>
      <c r="AB1" t="s">
        <v>60</v>
      </c>
      <c r="AC1" t="s">
        <v>61</v>
      </c>
      <c r="AD1" t="s">
        <v>62</v>
      </c>
      <c r="AE1" t="s">
        <v>86</v>
      </c>
      <c r="AF1" t="s">
        <v>87</v>
      </c>
      <c r="AG1" t="s">
        <v>88</v>
      </c>
      <c r="AH1" t="s">
        <v>91</v>
      </c>
      <c r="AI1" t="s">
        <v>109</v>
      </c>
      <c r="AJ1" t="s">
        <v>108</v>
      </c>
      <c r="AK1" t="s">
        <v>107</v>
      </c>
      <c r="AL1" t="s">
        <v>110</v>
      </c>
      <c r="AM1" t="s">
        <v>128</v>
      </c>
      <c r="AN1" t="s">
        <v>129</v>
      </c>
    </row>
    <row r="2" spans="1:45" x14ac:dyDescent="0.25">
      <c r="A2">
        <v>1</v>
      </c>
      <c r="B2" t="s">
        <v>16</v>
      </c>
      <c r="C2">
        <v>1000</v>
      </c>
      <c r="D2">
        <v>63</v>
      </c>
      <c r="E2">
        <v>0</v>
      </c>
      <c r="F2">
        <v>48</v>
      </c>
      <c r="G2">
        <v>79</v>
      </c>
      <c r="H2">
        <v>80</v>
      </c>
      <c r="I2">
        <v>78</v>
      </c>
      <c r="J2">
        <v>79</v>
      </c>
      <c r="K2">
        <v>70</v>
      </c>
      <c r="L2">
        <v>74</v>
      </c>
      <c r="M2">
        <v>74</v>
      </c>
      <c r="N2">
        <v>61</v>
      </c>
      <c r="O2">
        <v>71</v>
      </c>
      <c r="P2">
        <f t="shared" ref="P2:P18" si="0">(L2*N2*O2)^(1/3)</f>
        <v>68.434216775695589</v>
      </c>
      <c r="Q2">
        <f t="shared" ref="Q2:Q18" si="1">(F2*H2*K2)^(1/3)</f>
        <v>64.537145840981722</v>
      </c>
      <c r="R2" t="s">
        <v>41</v>
      </c>
      <c r="S2">
        <v>30</v>
      </c>
      <c r="T2">
        <v>82</v>
      </c>
      <c r="U2">
        <v>106</v>
      </c>
      <c r="V2">
        <v>89</v>
      </c>
      <c r="W2">
        <v>113</v>
      </c>
      <c r="X2">
        <v>110</v>
      </c>
      <c r="Y2">
        <v>0</v>
      </c>
      <c r="Z2">
        <f t="shared" ref="Z2:Z18" si="2">(T2*U2*V2*W2*X2)^(1/5)</f>
        <v>99.219302709069495</v>
      </c>
      <c r="AA2" s="2">
        <v>6</v>
      </c>
      <c r="AB2" s="2">
        <v>4</v>
      </c>
      <c r="AC2" s="2">
        <v>5</v>
      </c>
      <c r="AD2">
        <f t="shared" ref="AD2:AD18" si="3">(P2*Q2*Z2)^(1/3)</f>
        <v>75.955590109188009</v>
      </c>
      <c r="AE2" t="s">
        <v>65</v>
      </c>
      <c r="AF2" t="s">
        <v>69</v>
      </c>
      <c r="AG2" t="s">
        <v>93</v>
      </c>
      <c r="AH2">
        <v>7</v>
      </c>
      <c r="AI2">
        <f>AH2-4</f>
        <v>3</v>
      </c>
      <c r="AJ2" t="s">
        <v>116</v>
      </c>
      <c r="AK2">
        <v>9</v>
      </c>
      <c r="AL2">
        <f>AK2-6</f>
        <v>3</v>
      </c>
      <c r="AM2">
        <f t="shared" ref="AM2:AM18" si="4">G2-L2</f>
        <v>5</v>
      </c>
      <c r="AN2" s="7">
        <f t="shared" ref="AN2:AN18" si="5">(1-(45/J2))+0.2</f>
        <v>0.63037974683544307</v>
      </c>
      <c r="AO2">
        <f>0.65*J2</f>
        <v>51.35</v>
      </c>
    </row>
    <row r="3" spans="1:45" x14ac:dyDescent="0.25">
      <c r="A3">
        <v>7</v>
      </c>
      <c r="B3" t="s">
        <v>22</v>
      </c>
      <c r="C3">
        <v>1000</v>
      </c>
      <c r="D3">
        <v>69</v>
      </c>
      <c r="E3">
        <v>0</v>
      </c>
      <c r="F3">
        <v>66</v>
      </c>
      <c r="G3">
        <v>75</v>
      </c>
      <c r="H3">
        <v>80</v>
      </c>
      <c r="I3">
        <v>80</v>
      </c>
      <c r="J3">
        <v>76</v>
      </c>
      <c r="K3">
        <v>77</v>
      </c>
      <c r="L3">
        <v>71</v>
      </c>
      <c r="M3">
        <v>75</v>
      </c>
      <c r="N3">
        <v>74</v>
      </c>
      <c r="O3">
        <v>73</v>
      </c>
      <c r="P3">
        <f t="shared" si="0"/>
        <v>72.655914952014115</v>
      </c>
      <c r="Q3">
        <f t="shared" si="1"/>
        <v>74.081235357026699</v>
      </c>
      <c r="R3" t="s">
        <v>47</v>
      </c>
      <c r="S3">
        <v>18</v>
      </c>
      <c r="T3">
        <v>104</v>
      </c>
      <c r="U3">
        <v>102</v>
      </c>
      <c r="V3">
        <v>115</v>
      </c>
      <c r="W3">
        <v>110</v>
      </c>
      <c r="X3">
        <v>115</v>
      </c>
      <c r="Y3">
        <v>0</v>
      </c>
      <c r="Z3">
        <f t="shared" si="2"/>
        <v>109.06474175824731</v>
      </c>
      <c r="AA3" s="2">
        <v>3</v>
      </c>
      <c r="AB3" s="2">
        <v>1</v>
      </c>
      <c r="AC3" s="2">
        <v>1</v>
      </c>
      <c r="AD3">
        <f t="shared" si="3"/>
        <v>83.731304197638465</v>
      </c>
      <c r="AE3" t="s">
        <v>63</v>
      </c>
      <c r="AF3" t="s">
        <v>75</v>
      </c>
      <c r="AG3" t="s">
        <v>90</v>
      </c>
      <c r="AH3">
        <v>8</v>
      </c>
      <c r="AI3">
        <f>AH3-2</f>
        <v>6</v>
      </c>
      <c r="AJ3" t="s">
        <v>113</v>
      </c>
      <c r="AK3">
        <v>7</v>
      </c>
      <c r="AL3">
        <f>AK3-3</f>
        <v>4</v>
      </c>
      <c r="AM3">
        <f t="shared" si="4"/>
        <v>4</v>
      </c>
      <c r="AN3" s="7">
        <f t="shared" si="5"/>
        <v>0.60789473684210527</v>
      </c>
      <c r="AO3">
        <f t="shared" ref="AO3:AO18" si="6">0.65*J3</f>
        <v>49.4</v>
      </c>
    </row>
    <row r="4" spans="1:45" x14ac:dyDescent="0.25">
      <c r="A4">
        <v>3</v>
      </c>
      <c r="B4" t="s">
        <v>18</v>
      </c>
      <c r="C4">
        <v>1000</v>
      </c>
      <c r="D4">
        <v>42</v>
      </c>
      <c r="E4">
        <v>0</v>
      </c>
      <c r="F4">
        <v>38</v>
      </c>
      <c r="G4">
        <v>58</v>
      </c>
      <c r="H4">
        <v>61</v>
      </c>
      <c r="I4">
        <v>52</v>
      </c>
      <c r="J4">
        <v>74</v>
      </c>
      <c r="K4">
        <v>72</v>
      </c>
      <c r="L4">
        <v>41</v>
      </c>
      <c r="M4">
        <v>53</v>
      </c>
      <c r="N4">
        <v>41</v>
      </c>
      <c r="O4">
        <v>38</v>
      </c>
      <c r="P4">
        <f t="shared" si="0"/>
        <v>39.974567166034475</v>
      </c>
      <c r="Q4">
        <f t="shared" si="1"/>
        <v>55.057350645777831</v>
      </c>
      <c r="R4" t="s">
        <v>43</v>
      </c>
      <c r="S4">
        <v>30</v>
      </c>
      <c r="T4">
        <v>83</v>
      </c>
      <c r="U4">
        <v>96</v>
      </c>
      <c r="V4">
        <v>88</v>
      </c>
      <c r="W4">
        <v>80</v>
      </c>
      <c r="X4">
        <v>65</v>
      </c>
      <c r="Y4">
        <v>0</v>
      </c>
      <c r="Z4">
        <f t="shared" si="2"/>
        <v>81.727284331662204</v>
      </c>
      <c r="AA4" s="1">
        <v>15</v>
      </c>
      <c r="AB4">
        <v>10</v>
      </c>
      <c r="AC4">
        <v>10</v>
      </c>
      <c r="AD4">
        <f t="shared" si="3"/>
        <v>56.448886890215348</v>
      </c>
      <c r="AE4" t="s">
        <v>67</v>
      </c>
      <c r="AF4" t="s">
        <v>71</v>
      </c>
      <c r="AG4" t="s">
        <v>103</v>
      </c>
      <c r="AH4">
        <v>8.8000000000000007</v>
      </c>
      <c r="AI4">
        <f>AH4-13</f>
        <v>-4.1999999999999993</v>
      </c>
      <c r="AJ4" t="s">
        <v>125</v>
      </c>
      <c r="AK4">
        <v>9</v>
      </c>
      <c r="AL4">
        <f>AK4-15</f>
        <v>-6</v>
      </c>
      <c r="AM4">
        <f t="shared" si="4"/>
        <v>17</v>
      </c>
      <c r="AN4" s="7">
        <f t="shared" si="5"/>
        <v>0.59189189189189184</v>
      </c>
      <c r="AO4">
        <f t="shared" si="6"/>
        <v>48.1</v>
      </c>
    </row>
    <row r="5" spans="1:45" x14ac:dyDescent="0.25">
      <c r="A5">
        <v>15</v>
      </c>
      <c r="B5" t="s">
        <v>30</v>
      </c>
      <c r="C5">
        <v>1000</v>
      </c>
      <c r="D5">
        <v>73</v>
      </c>
      <c r="E5">
        <v>0</v>
      </c>
      <c r="F5">
        <v>78</v>
      </c>
      <c r="G5" s="1">
        <v>40</v>
      </c>
      <c r="H5">
        <v>46</v>
      </c>
      <c r="I5">
        <v>80</v>
      </c>
      <c r="J5">
        <v>74</v>
      </c>
      <c r="K5">
        <v>68</v>
      </c>
      <c r="L5">
        <v>72</v>
      </c>
      <c r="M5">
        <v>73</v>
      </c>
      <c r="N5">
        <v>71</v>
      </c>
      <c r="O5">
        <v>63</v>
      </c>
      <c r="P5">
        <f t="shared" si="0"/>
        <v>68.545213193224626</v>
      </c>
      <c r="Q5">
        <f t="shared" si="1"/>
        <v>62.486631807533421</v>
      </c>
      <c r="R5" t="s">
        <v>55</v>
      </c>
      <c r="S5">
        <v>39</v>
      </c>
      <c r="T5">
        <v>98</v>
      </c>
      <c r="U5">
        <v>104</v>
      </c>
      <c r="V5">
        <v>93</v>
      </c>
      <c r="W5">
        <v>101</v>
      </c>
      <c r="X5">
        <v>112</v>
      </c>
      <c r="Y5">
        <v>0</v>
      </c>
      <c r="Z5">
        <f t="shared" si="2"/>
        <v>101.40429546223</v>
      </c>
      <c r="AA5" s="2">
        <v>5</v>
      </c>
      <c r="AB5" s="2">
        <v>6</v>
      </c>
      <c r="AC5" s="2">
        <v>3</v>
      </c>
      <c r="AD5">
        <f t="shared" si="3"/>
        <v>75.730972363733088</v>
      </c>
      <c r="AE5" t="s">
        <v>65</v>
      </c>
      <c r="AF5" t="s">
        <v>84</v>
      </c>
      <c r="AG5" t="s">
        <v>94</v>
      </c>
      <c r="AH5">
        <v>8.5709999999999997</v>
      </c>
      <c r="AI5">
        <f>AH5-5</f>
        <v>3.5709999999999997</v>
      </c>
      <c r="AJ5" t="s">
        <v>115</v>
      </c>
      <c r="AK5">
        <v>8.5709999999999997</v>
      </c>
      <c r="AL5">
        <f>AK5-5</f>
        <v>3.5709999999999997</v>
      </c>
      <c r="AM5">
        <f t="shared" si="4"/>
        <v>-32</v>
      </c>
      <c r="AN5" s="7">
        <f t="shared" si="5"/>
        <v>0.59189189189189184</v>
      </c>
      <c r="AO5">
        <f t="shared" si="6"/>
        <v>48.1</v>
      </c>
    </row>
    <row r="6" spans="1:45" x14ac:dyDescent="0.25">
      <c r="A6">
        <v>5</v>
      </c>
      <c r="B6" t="s">
        <v>20</v>
      </c>
      <c r="C6">
        <v>1000</v>
      </c>
      <c r="D6">
        <v>38</v>
      </c>
      <c r="E6">
        <v>0</v>
      </c>
      <c r="F6">
        <v>41</v>
      </c>
      <c r="G6" s="1">
        <v>36</v>
      </c>
      <c r="H6">
        <v>42</v>
      </c>
      <c r="I6">
        <v>61</v>
      </c>
      <c r="J6">
        <v>73</v>
      </c>
      <c r="K6">
        <v>69</v>
      </c>
      <c r="L6">
        <v>54</v>
      </c>
      <c r="M6">
        <v>68</v>
      </c>
      <c r="N6">
        <v>63</v>
      </c>
      <c r="O6">
        <v>50</v>
      </c>
      <c r="P6">
        <f t="shared" si="0"/>
        <v>55.407442513434958</v>
      </c>
      <c r="Q6">
        <f t="shared" si="1"/>
        <v>49.161758902384868</v>
      </c>
      <c r="R6" t="s">
        <v>45</v>
      </c>
      <c r="S6">
        <v>20</v>
      </c>
      <c r="T6">
        <v>90</v>
      </c>
      <c r="U6">
        <v>85</v>
      </c>
      <c r="V6">
        <v>46</v>
      </c>
      <c r="W6">
        <v>109</v>
      </c>
      <c r="X6">
        <v>88</v>
      </c>
      <c r="Y6">
        <v>0</v>
      </c>
      <c r="Z6">
        <f t="shared" si="2"/>
        <v>80.475871292938109</v>
      </c>
      <c r="AA6">
        <v>11</v>
      </c>
      <c r="AB6" s="1">
        <v>13</v>
      </c>
      <c r="AC6">
        <v>11</v>
      </c>
      <c r="AD6">
        <f t="shared" si="3"/>
        <v>60.295800896964579</v>
      </c>
      <c r="AE6" t="s">
        <v>67</v>
      </c>
      <c r="AF6" t="s">
        <v>73</v>
      </c>
      <c r="AG6" t="s">
        <v>101</v>
      </c>
      <c r="AH6">
        <v>10.75</v>
      </c>
      <c r="AI6">
        <f>AH6-12</f>
        <v>-1.25</v>
      </c>
      <c r="AJ6" t="s">
        <v>121</v>
      </c>
      <c r="AK6">
        <v>11</v>
      </c>
      <c r="AL6">
        <f>AK6-11</f>
        <v>0</v>
      </c>
      <c r="AM6">
        <f t="shared" si="4"/>
        <v>-18</v>
      </c>
      <c r="AN6" s="7">
        <f t="shared" si="5"/>
        <v>0.58356164383561637</v>
      </c>
      <c r="AO6">
        <f t="shared" si="6"/>
        <v>47.45</v>
      </c>
    </row>
    <row r="7" spans="1:45" x14ac:dyDescent="0.25">
      <c r="A7">
        <v>16</v>
      </c>
      <c r="B7" t="s">
        <v>31</v>
      </c>
      <c r="C7">
        <v>1000</v>
      </c>
      <c r="D7">
        <v>62</v>
      </c>
      <c r="E7">
        <v>0</v>
      </c>
      <c r="F7">
        <v>58</v>
      </c>
      <c r="G7">
        <v>80</v>
      </c>
      <c r="H7">
        <v>80</v>
      </c>
      <c r="I7">
        <v>80</v>
      </c>
      <c r="J7">
        <v>71</v>
      </c>
      <c r="K7">
        <v>72</v>
      </c>
      <c r="L7">
        <v>78</v>
      </c>
      <c r="M7">
        <v>77</v>
      </c>
      <c r="N7">
        <v>78</v>
      </c>
      <c r="O7">
        <v>80</v>
      </c>
      <c r="P7">
        <f t="shared" si="0"/>
        <v>78.661048467230643</v>
      </c>
      <c r="Q7">
        <f t="shared" si="1"/>
        <v>69.38785980258659</v>
      </c>
      <c r="R7" t="s">
        <v>56</v>
      </c>
      <c r="S7">
        <v>26</v>
      </c>
      <c r="T7">
        <v>102</v>
      </c>
      <c r="U7">
        <v>115</v>
      </c>
      <c r="V7">
        <v>111</v>
      </c>
      <c r="W7">
        <v>106</v>
      </c>
      <c r="X7">
        <v>108</v>
      </c>
      <c r="Y7">
        <v>0</v>
      </c>
      <c r="Z7">
        <f t="shared" si="2"/>
        <v>108.3103906739629</v>
      </c>
      <c r="AA7" s="2">
        <v>1</v>
      </c>
      <c r="AB7" s="2">
        <v>2</v>
      </c>
      <c r="AC7" s="2">
        <v>2</v>
      </c>
      <c r="AD7">
        <f t="shared" si="3"/>
        <v>83.92753126291089</v>
      </c>
      <c r="AE7" t="s">
        <v>63</v>
      </c>
      <c r="AF7" t="s">
        <v>85</v>
      </c>
      <c r="AG7" t="s">
        <v>89</v>
      </c>
      <c r="AH7">
        <v>8.3330000000000002</v>
      </c>
      <c r="AI7">
        <f>AH7-1</f>
        <v>7.3330000000000002</v>
      </c>
      <c r="AJ7" t="s">
        <v>111</v>
      </c>
      <c r="AK7">
        <v>6.3330000000000002</v>
      </c>
      <c r="AL7">
        <f>AK7-1</f>
        <v>5.3330000000000002</v>
      </c>
      <c r="AM7">
        <f t="shared" si="4"/>
        <v>2</v>
      </c>
      <c r="AN7" s="7">
        <f t="shared" si="5"/>
        <v>0.56619718309859146</v>
      </c>
      <c r="AO7">
        <f t="shared" si="6"/>
        <v>46.15</v>
      </c>
    </row>
    <row r="8" spans="1:45" x14ac:dyDescent="0.25">
      <c r="A8">
        <v>14</v>
      </c>
      <c r="B8" t="s">
        <v>29</v>
      </c>
      <c r="C8">
        <v>1000</v>
      </c>
      <c r="D8">
        <v>62</v>
      </c>
      <c r="E8">
        <v>0</v>
      </c>
      <c r="F8">
        <v>68</v>
      </c>
      <c r="G8">
        <v>69</v>
      </c>
      <c r="H8">
        <v>63</v>
      </c>
      <c r="I8">
        <v>63</v>
      </c>
      <c r="J8">
        <v>65</v>
      </c>
      <c r="K8">
        <v>61</v>
      </c>
      <c r="L8">
        <v>69</v>
      </c>
      <c r="M8">
        <v>70</v>
      </c>
      <c r="N8">
        <v>69</v>
      </c>
      <c r="O8">
        <v>58</v>
      </c>
      <c r="P8">
        <f t="shared" si="0"/>
        <v>65.119150290655128</v>
      </c>
      <c r="Q8">
        <f t="shared" si="1"/>
        <v>63.933198527852717</v>
      </c>
      <c r="R8" t="s">
        <v>54</v>
      </c>
      <c r="S8">
        <v>38</v>
      </c>
      <c r="T8">
        <v>96</v>
      </c>
      <c r="U8">
        <v>106</v>
      </c>
      <c r="V8">
        <v>86</v>
      </c>
      <c r="W8">
        <v>101</v>
      </c>
      <c r="X8">
        <v>81</v>
      </c>
      <c r="Y8">
        <v>0</v>
      </c>
      <c r="Z8">
        <f t="shared" si="2"/>
        <v>93.535481974801968</v>
      </c>
      <c r="AA8">
        <v>8</v>
      </c>
      <c r="AB8" s="2">
        <v>5</v>
      </c>
      <c r="AC8">
        <v>7</v>
      </c>
      <c r="AD8">
        <f t="shared" si="3"/>
        <v>73.024823385404346</v>
      </c>
      <c r="AE8" t="s">
        <v>66</v>
      </c>
      <c r="AF8" t="s">
        <v>83</v>
      </c>
      <c r="AG8" t="s">
        <v>95</v>
      </c>
      <c r="AH8">
        <v>13</v>
      </c>
      <c r="AI8">
        <f>AH8-6</f>
        <v>7</v>
      </c>
      <c r="AJ8" t="s">
        <v>118</v>
      </c>
      <c r="AK8">
        <v>14</v>
      </c>
      <c r="AL8">
        <f>AK8-8</f>
        <v>6</v>
      </c>
      <c r="AM8">
        <f t="shared" si="4"/>
        <v>0</v>
      </c>
      <c r="AN8" s="7">
        <f t="shared" si="5"/>
        <v>0.50769230769230766</v>
      </c>
      <c r="AO8">
        <f t="shared" si="6"/>
        <v>42.25</v>
      </c>
      <c r="AP8" s="7">
        <f>1-(AO8^2/2025)</f>
        <v>0.11848765432098762</v>
      </c>
      <c r="AQ8">
        <f>G8-(2/3*L8)</f>
        <v>23</v>
      </c>
      <c r="AR8">
        <f>2*((5*AQ8)/(SQRT(((H8+AO8)/2)+AQ8)))</f>
        <v>26.448140430499173</v>
      </c>
      <c r="AS8">
        <f>AO8+AR8</f>
        <v>68.698140430499166</v>
      </c>
    </row>
    <row r="9" spans="1:45" x14ac:dyDescent="0.25">
      <c r="A9">
        <v>12</v>
      </c>
      <c r="B9" t="s">
        <v>27</v>
      </c>
      <c r="C9">
        <v>1000</v>
      </c>
      <c r="D9">
        <v>55</v>
      </c>
      <c r="E9">
        <v>0</v>
      </c>
      <c r="F9">
        <v>51</v>
      </c>
      <c r="G9" s="1">
        <v>52</v>
      </c>
      <c r="H9">
        <v>48</v>
      </c>
      <c r="I9">
        <v>76</v>
      </c>
      <c r="J9">
        <v>65</v>
      </c>
      <c r="K9">
        <v>60</v>
      </c>
      <c r="L9">
        <v>74</v>
      </c>
      <c r="M9">
        <v>65</v>
      </c>
      <c r="N9">
        <v>75</v>
      </c>
      <c r="O9">
        <v>71</v>
      </c>
      <c r="P9">
        <f t="shared" si="0"/>
        <v>73.313470286134418</v>
      </c>
      <c r="Q9">
        <f t="shared" si="1"/>
        <v>52.761956065898168</v>
      </c>
      <c r="R9" t="s">
        <v>52</v>
      </c>
      <c r="S9">
        <v>32</v>
      </c>
      <c r="T9">
        <v>115</v>
      </c>
      <c r="U9">
        <v>110</v>
      </c>
      <c r="V9">
        <v>102</v>
      </c>
      <c r="W9">
        <v>85</v>
      </c>
      <c r="X9">
        <v>88</v>
      </c>
      <c r="Y9">
        <v>0</v>
      </c>
      <c r="Z9">
        <f t="shared" si="2"/>
        <v>99.292960339357776</v>
      </c>
      <c r="AA9" s="2">
        <v>2</v>
      </c>
      <c r="AB9" s="1">
        <v>12</v>
      </c>
      <c r="AC9" s="2">
        <v>4</v>
      </c>
      <c r="AD9">
        <f t="shared" si="3"/>
        <v>72.689950774447908</v>
      </c>
      <c r="AE9" t="s">
        <v>66</v>
      </c>
      <c r="AF9" t="s">
        <v>80</v>
      </c>
      <c r="AG9" t="s">
        <v>96</v>
      </c>
      <c r="AH9">
        <v>11.4</v>
      </c>
      <c r="AI9">
        <f>AH9-7</f>
        <v>4.4000000000000004</v>
      </c>
      <c r="AJ9" t="s">
        <v>112</v>
      </c>
      <c r="AK9">
        <v>11.4</v>
      </c>
      <c r="AL9">
        <f>AK9-2</f>
        <v>9.4</v>
      </c>
      <c r="AM9">
        <f t="shared" si="4"/>
        <v>-22</v>
      </c>
      <c r="AN9" s="7">
        <f t="shared" si="5"/>
        <v>0.50769230769230766</v>
      </c>
      <c r="AO9">
        <f t="shared" si="6"/>
        <v>42.25</v>
      </c>
      <c r="AP9" s="7">
        <f t="shared" ref="AP8:AP18" si="7">1-(AO9^2/2025)</f>
        <v>0.11848765432098762</v>
      </c>
      <c r="AQ9">
        <f t="shared" ref="AQ9:AQ18" si="8">G9-(2/3*L9)</f>
        <v>2.6666666666666714</v>
      </c>
      <c r="AR9">
        <f t="shared" ref="AR9:AR18" si="9">2*((5*AQ9)/(SQRT(((H9+AO9)/2)+AQ9)))</f>
        <v>3.8573819521220436</v>
      </c>
      <c r="AS9">
        <f t="shared" ref="AS9:AS18" si="10">AO9+AR9</f>
        <v>46.10738195212204</v>
      </c>
    </row>
    <row r="10" spans="1:45" x14ac:dyDescent="0.25">
      <c r="A10">
        <v>6</v>
      </c>
      <c r="B10" t="s">
        <v>21</v>
      </c>
      <c r="C10">
        <v>1000</v>
      </c>
      <c r="D10">
        <v>68</v>
      </c>
      <c r="E10">
        <v>0</v>
      </c>
      <c r="F10">
        <v>65</v>
      </c>
      <c r="G10" s="1">
        <v>48</v>
      </c>
      <c r="H10">
        <v>45</v>
      </c>
      <c r="I10">
        <v>73</v>
      </c>
      <c r="J10">
        <v>65</v>
      </c>
      <c r="K10">
        <v>64</v>
      </c>
      <c r="L10">
        <v>73</v>
      </c>
      <c r="M10">
        <v>61</v>
      </c>
      <c r="N10">
        <v>72</v>
      </c>
      <c r="O10">
        <v>63</v>
      </c>
      <c r="P10">
        <f t="shared" si="0"/>
        <v>69.182879701160502</v>
      </c>
      <c r="Q10">
        <f t="shared" si="1"/>
        <v>57.205170119664565</v>
      </c>
      <c r="R10" t="s">
        <v>46</v>
      </c>
      <c r="S10">
        <v>41</v>
      </c>
      <c r="T10">
        <v>52</v>
      </c>
      <c r="U10">
        <v>113</v>
      </c>
      <c r="V10">
        <v>31</v>
      </c>
      <c r="W10">
        <v>88</v>
      </c>
      <c r="X10">
        <v>91</v>
      </c>
      <c r="Y10">
        <v>0</v>
      </c>
      <c r="Z10">
        <f t="shared" si="2"/>
        <v>68.04457550548446</v>
      </c>
      <c r="AA10" s="2">
        <v>4</v>
      </c>
      <c r="AB10">
        <v>8</v>
      </c>
      <c r="AC10" s="1">
        <v>16</v>
      </c>
      <c r="AD10">
        <f t="shared" si="3"/>
        <v>64.576694157456615</v>
      </c>
      <c r="AE10" t="s">
        <v>67</v>
      </c>
      <c r="AF10" t="s">
        <v>74</v>
      </c>
      <c r="AG10" t="s">
        <v>99</v>
      </c>
      <c r="AH10">
        <v>3.3330000000000002</v>
      </c>
      <c r="AI10">
        <f>AH10-10</f>
        <v>-6.6669999999999998</v>
      </c>
      <c r="AJ10" t="s">
        <v>114</v>
      </c>
      <c r="AK10">
        <v>5</v>
      </c>
      <c r="AL10">
        <f>AK10-4</f>
        <v>1</v>
      </c>
      <c r="AM10">
        <f t="shared" si="4"/>
        <v>-25</v>
      </c>
      <c r="AN10" s="7">
        <f t="shared" si="5"/>
        <v>0.50769230769230766</v>
      </c>
      <c r="AO10">
        <f t="shared" si="6"/>
        <v>42.25</v>
      </c>
      <c r="AP10" s="7">
        <f t="shared" si="7"/>
        <v>0.11848765432098762</v>
      </c>
      <c r="AQ10">
        <f t="shared" si="8"/>
        <v>-0.6666666666666643</v>
      </c>
      <c r="AR10">
        <f t="shared" si="9"/>
        <v>-1.0171500602514383</v>
      </c>
      <c r="AS10">
        <f t="shared" si="10"/>
        <v>41.232849939748561</v>
      </c>
    </row>
    <row r="11" spans="1:45" x14ac:dyDescent="0.25">
      <c r="A11">
        <v>2</v>
      </c>
      <c r="B11" t="s">
        <v>17</v>
      </c>
      <c r="C11">
        <v>1000</v>
      </c>
      <c r="D11">
        <v>53</v>
      </c>
      <c r="E11">
        <v>0</v>
      </c>
      <c r="F11">
        <v>61</v>
      </c>
      <c r="G11">
        <v>80</v>
      </c>
      <c r="H11">
        <v>80</v>
      </c>
      <c r="I11">
        <v>75</v>
      </c>
      <c r="J11">
        <v>63</v>
      </c>
      <c r="K11">
        <v>65</v>
      </c>
      <c r="L11">
        <v>70</v>
      </c>
      <c r="M11">
        <v>68</v>
      </c>
      <c r="N11">
        <v>68</v>
      </c>
      <c r="O11">
        <v>65</v>
      </c>
      <c r="P11">
        <f t="shared" si="0"/>
        <v>67.635302453070338</v>
      </c>
      <c r="Q11">
        <f t="shared" si="1"/>
        <v>68.19895596134819</v>
      </c>
      <c r="R11" t="s">
        <v>42</v>
      </c>
      <c r="S11">
        <v>22</v>
      </c>
      <c r="T11">
        <v>91</v>
      </c>
      <c r="U11">
        <v>101</v>
      </c>
      <c r="V11">
        <v>104</v>
      </c>
      <c r="W11">
        <v>88</v>
      </c>
      <c r="X11">
        <v>106</v>
      </c>
      <c r="Y11">
        <v>0</v>
      </c>
      <c r="Z11">
        <f t="shared" si="2"/>
        <v>97.732032010306668</v>
      </c>
      <c r="AA11">
        <v>7</v>
      </c>
      <c r="AB11" s="2">
        <v>3</v>
      </c>
      <c r="AC11" s="2">
        <v>6</v>
      </c>
      <c r="AD11">
        <f t="shared" si="3"/>
        <v>76.676573510804658</v>
      </c>
      <c r="AE11" t="s">
        <v>65</v>
      </c>
      <c r="AF11" t="s">
        <v>70</v>
      </c>
      <c r="AG11" t="s">
        <v>92</v>
      </c>
      <c r="AH11">
        <v>6.3330000000000002</v>
      </c>
      <c r="AI11">
        <f>AH11-3</f>
        <v>3.3330000000000002</v>
      </c>
      <c r="AJ11" t="s">
        <v>117</v>
      </c>
      <c r="AK11">
        <v>5</v>
      </c>
      <c r="AL11">
        <f>AK11-7</f>
        <v>-2</v>
      </c>
      <c r="AM11">
        <f t="shared" si="4"/>
        <v>10</v>
      </c>
      <c r="AN11" s="7">
        <f t="shared" si="5"/>
        <v>0.48571428571428571</v>
      </c>
      <c r="AO11">
        <f t="shared" si="6"/>
        <v>40.950000000000003</v>
      </c>
      <c r="AP11" s="7">
        <f t="shared" si="7"/>
        <v>0.17189999999999994</v>
      </c>
      <c r="AQ11">
        <f t="shared" si="8"/>
        <v>33.333333333333336</v>
      </c>
      <c r="AR11">
        <f t="shared" si="9"/>
        <v>34.415813156121459</v>
      </c>
      <c r="AS11">
        <f t="shared" si="10"/>
        <v>75.365813156121462</v>
      </c>
    </row>
    <row r="12" spans="1:45" x14ac:dyDescent="0.25">
      <c r="A12">
        <v>4</v>
      </c>
      <c r="B12" t="s">
        <v>19</v>
      </c>
      <c r="C12">
        <v>1000</v>
      </c>
      <c r="D12">
        <v>52</v>
      </c>
      <c r="E12">
        <v>0</v>
      </c>
      <c r="F12">
        <v>44</v>
      </c>
      <c r="G12">
        <v>68</v>
      </c>
      <c r="H12">
        <v>70</v>
      </c>
      <c r="I12">
        <v>71</v>
      </c>
      <c r="J12">
        <v>59</v>
      </c>
      <c r="K12">
        <v>54</v>
      </c>
      <c r="L12">
        <v>62</v>
      </c>
      <c r="M12">
        <v>56</v>
      </c>
      <c r="N12">
        <v>58</v>
      </c>
      <c r="O12">
        <v>59</v>
      </c>
      <c r="P12">
        <f t="shared" si="0"/>
        <v>59.642691212493077</v>
      </c>
      <c r="Q12">
        <f t="shared" si="1"/>
        <v>54.993938725981302</v>
      </c>
      <c r="R12" t="s">
        <v>44</v>
      </c>
      <c r="S12">
        <v>27</v>
      </c>
      <c r="T12">
        <v>71</v>
      </c>
      <c r="U12">
        <v>103</v>
      </c>
      <c r="V12">
        <v>105</v>
      </c>
      <c r="W12">
        <v>84</v>
      </c>
      <c r="X12">
        <v>101</v>
      </c>
      <c r="Y12">
        <v>0</v>
      </c>
      <c r="Z12">
        <f t="shared" si="2"/>
        <v>91.78614003552201</v>
      </c>
      <c r="AA12">
        <v>10</v>
      </c>
      <c r="AB12">
        <v>11</v>
      </c>
      <c r="AC12">
        <v>8</v>
      </c>
      <c r="AD12">
        <f t="shared" si="3"/>
        <v>67.021846351328719</v>
      </c>
      <c r="AE12" t="s">
        <v>64</v>
      </c>
      <c r="AF12" t="s">
        <v>72</v>
      </c>
      <c r="AG12" t="s">
        <v>98</v>
      </c>
      <c r="AH12">
        <v>12.25</v>
      </c>
      <c r="AI12">
        <f>AH12-9</f>
        <v>3.25</v>
      </c>
      <c r="AJ12" t="s">
        <v>120</v>
      </c>
      <c r="AK12">
        <v>12.25</v>
      </c>
      <c r="AL12">
        <f>AK12-10</f>
        <v>2.25</v>
      </c>
      <c r="AM12">
        <f t="shared" si="4"/>
        <v>6</v>
      </c>
      <c r="AN12" s="7">
        <f t="shared" si="5"/>
        <v>0.43728813559322038</v>
      </c>
      <c r="AO12">
        <f t="shared" si="6"/>
        <v>38.35</v>
      </c>
      <c r="AP12" s="7">
        <f t="shared" si="7"/>
        <v>0.27371728395061723</v>
      </c>
      <c r="AQ12">
        <f t="shared" si="8"/>
        <v>26.666666666666671</v>
      </c>
      <c r="AR12">
        <f t="shared" si="9"/>
        <v>29.658631154382181</v>
      </c>
      <c r="AS12">
        <f t="shared" si="10"/>
        <v>68.008631154382186</v>
      </c>
    </row>
    <row r="13" spans="1:45" x14ac:dyDescent="0.25">
      <c r="A13">
        <v>10</v>
      </c>
      <c r="B13" t="s">
        <v>25</v>
      </c>
      <c r="C13">
        <v>1000</v>
      </c>
      <c r="D13">
        <v>58</v>
      </c>
      <c r="E13">
        <v>0</v>
      </c>
      <c r="F13">
        <v>53</v>
      </c>
      <c r="G13">
        <v>69</v>
      </c>
      <c r="H13">
        <v>57</v>
      </c>
      <c r="I13">
        <v>61</v>
      </c>
      <c r="J13">
        <v>58</v>
      </c>
      <c r="K13">
        <v>57</v>
      </c>
      <c r="L13">
        <v>58</v>
      </c>
      <c r="M13">
        <v>61</v>
      </c>
      <c r="N13">
        <v>72</v>
      </c>
      <c r="O13">
        <v>63</v>
      </c>
      <c r="P13">
        <f t="shared" si="0"/>
        <v>64.07673088570175</v>
      </c>
      <c r="Q13">
        <f t="shared" si="1"/>
        <v>55.634201650752019</v>
      </c>
      <c r="R13" t="s">
        <v>50</v>
      </c>
      <c r="S13">
        <v>15</v>
      </c>
      <c r="T13">
        <v>86</v>
      </c>
      <c r="U13">
        <v>90</v>
      </c>
      <c r="V13">
        <v>96</v>
      </c>
      <c r="W13">
        <v>81</v>
      </c>
      <c r="X13">
        <v>92</v>
      </c>
      <c r="Y13">
        <v>0</v>
      </c>
      <c r="Z13">
        <f t="shared" si="2"/>
        <v>88.849913225041462</v>
      </c>
      <c r="AA13">
        <v>9</v>
      </c>
      <c r="AB13">
        <v>9</v>
      </c>
      <c r="AC13">
        <v>9</v>
      </c>
      <c r="AD13">
        <f t="shared" si="3"/>
        <v>68.165779428031499</v>
      </c>
      <c r="AE13" t="s">
        <v>64</v>
      </c>
      <c r="AF13" t="s">
        <v>78</v>
      </c>
      <c r="AG13" t="s">
        <v>97</v>
      </c>
      <c r="AH13">
        <v>12</v>
      </c>
      <c r="AI13">
        <f>AH13-8</f>
        <v>4</v>
      </c>
      <c r="AJ13" t="s">
        <v>119</v>
      </c>
      <c r="AK13">
        <v>11</v>
      </c>
      <c r="AL13">
        <f>AK13-9</f>
        <v>2</v>
      </c>
      <c r="AM13">
        <f t="shared" si="4"/>
        <v>11</v>
      </c>
      <c r="AN13" s="7">
        <f t="shared" si="5"/>
        <v>0.42413793103448277</v>
      </c>
      <c r="AO13">
        <f t="shared" si="6"/>
        <v>37.700000000000003</v>
      </c>
      <c r="AP13" s="7">
        <f t="shared" si="7"/>
        <v>0.29812839506172828</v>
      </c>
      <c r="AQ13">
        <f t="shared" si="8"/>
        <v>30.333333333333336</v>
      </c>
      <c r="AR13">
        <f t="shared" si="9"/>
        <v>34.415668618263226</v>
      </c>
      <c r="AS13">
        <f t="shared" si="10"/>
        <v>72.115668618263228</v>
      </c>
    </row>
    <row r="14" spans="1:45" x14ac:dyDescent="0.25">
      <c r="A14">
        <v>9</v>
      </c>
      <c r="B14" t="s">
        <v>24</v>
      </c>
      <c r="C14">
        <v>1000</v>
      </c>
      <c r="D14">
        <v>42</v>
      </c>
      <c r="E14">
        <v>0</v>
      </c>
      <c r="F14">
        <v>40</v>
      </c>
      <c r="G14">
        <v>38</v>
      </c>
      <c r="H14">
        <v>36</v>
      </c>
      <c r="I14">
        <v>51</v>
      </c>
      <c r="J14">
        <v>50</v>
      </c>
      <c r="K14">
        <v>48</v>
      </c>
      <c r="L14">
        <v>38</v>
      </c>
      <c r="M14">
        <v>47</v>
      </c>
      <c r="N14">
        <v>31</v>
      </c>
      <c r="O14">
        <v>35</v>
      </c>
      <c r="P14">
        <f t="shared" si="0"/>
        <v>34.546531066931053</v>
      </c>
      <c r="Q14">
        <f t="shared" si="1"/>
        <v>41.039422720240729</v>
      </c>
      <c r="R14" t="s">
        <v>49</v>
      </c>
      <c r="S14">
        <v>11</v>
      </c>
      <c r="T14">
        <v>86</v>
      </c>
      <c r="U14">
        <v>52</v>
      </c>
      <c r="V14">
        <v>95</v>
      </c>
      <c r="W14">
        <v>51</v>
      </c>
      <c r="X14">
        <v>81</v>
      </c>
      <c r="Y14">
        <v>0</v>
      </c>
      <c r="Z14">
        <f t="shared" si="2"/>
        <v>70.608359130094755</v>
      </c>
      <c r="AA14" s="1">
        <v>16</v>
      </c>
      <c r="AB14" s="1">
        <v>14</v>
      </c>
      <c r="AC14" s="1">
        <v>15</v>
      </c>
      <c r="AD14">
        <f t="shared" si="3"/>
        <v>46.432343366746572</v>
      </c>
      <c r="AE14" t="s">
        <v>68</v>
      </c>
      <c r="AF14" t="s">
        <v>77</v>
      </c>
      <c r="AG14" t="s">
        <v>104</v>
      </c>
      <c r="AH14">
        <v>10.25</v>
      </c>
      <c r="AI14">
        <f>AH14-15</f>
        <v>-4.75</v>
      </c>
      <c r="AJ14" t="s">
        <v>126</v>
      </c>
      <c r="AK14">
        <v>9.75</v>
      </c>
      <c r="AL14">
        <f>AK14-16</f>
        <v>-6.25</v>
      </c>
      <c r="AM14">
        <f t="shared" si="4"/>
        <v>0</v>
      </c>
      <c r="AN14" s="7">
        <f t="shared" si="5"/>
        <v>0.3</v>
      </c>
      <c r="AO14">
        <f t="shared" si="6"/>
        <v>32.5</v>
      </c>
      <c r="AP14" s="7">
        <f t="shared" si="7"/>
        <v>0.47839506172839508</v>
      </c>
      <c r="AQ14">
        <f t="shared" si="8"/>
        <v>12.666666666666668</v>
      </c>
      <c r="AR14">
        <f t="shared" si="9"/>
        <v>18.492633708592344</v>
      </c>
      <c r="AS14">
        <f t="shared" si="10"/>
        <v>50.992633708592344</v>
      </c>
    </row>
    <row r="15" spans="1:45" x14ac:dyDescent="0.25">
      <c r="A15">
        <v>11</v>
      </c>
      <c r="B15" t="s">
        <v>26</v>
      </c>
      <c r="C15">
        <v>1000</v>
      </c>
      <c r="D15">
        <v>36</v>
      </c>
      <c r="E15">
        <v>0</v>
      </c>
      <c r="F15">
        <v>38</v>
      </c>
      <c r="G15">
        <v>24</v>
      </c>
      <c r="H15">
        <v>21</v>
      </c>
      <c r="I15">
        <v>42</v>
      </c>
      <c r="J15">
        <v>46</v>
      </c>
      <c r="K15">
        <v>45</v>
      </c>
      <c r="L15">
        <v>21</v>
      </c>
      <c r="M15">
        <v>45</v>
      </c>
      <c r="N15">
        <v>26</v>
      </c>
      <c r="O15">
        <v>27</v>
      </c>
      <c r="P15">
        <f t="shared" si="0"/>
        <v>24.519906076689331</v>
      </c>
      <c r="Q15">
        <f t="shared" si="1"/>
        <v>32.991733466587988</v>
      </c>
      <c r="R15" t="s">
        <v>51</v>
      </c>
      <c r="S15">
        <v>39</v>
      </c>
      <c r="T15">
        <v>90</v>
      </c>
      <c r="U15">
        <v>36</v>
      </c>
      <c r="V15">
        <v>52</v>
      </c>
      <c r="W15">
        <v>60</v>
      </c>
      <c r="X15">
        <v>81</v>
      </c>
      <c r="Y15">
        <v>0</v>
      </c>
      <c r="Z15">
        <f t="shared" si="2"/>
        <v>60.622930273266903</v>
      </c>
      <c r="AA15" s="1">
        <v>17</v>
      </c>
      <c r="AB15" s="1">
        <v>15</v>
      </c>
      <c r="AC15" s="1">
        <v>17</v>
      </c>
      <c r="AD15">
        <f t="shared" si="3"/>
        <v>36.60330387601212</v>
      </c>
      <c r="AE15" t="s">
        <v>68</v>
      </c>
      <c r="AF15" t="s">
        <v>79</v>
      </c>
      <c r="AG15" t="s">
        <v>106</v>
      </c>
      <c r="AH15">
        <v>10.25</v>
      </c>
      <c r="AI15">
        <f>AH15-17</f>
        <v>-6.75</v>
      </c>
      <c r="AJ15" t="s">
        <v>127</v>
      </c>
      <c r="AK15">
        <v>9.75</v>
      </c>
      <c r="AL15">
        <f>AK15-17</f>
        <v>-7.25</v>
      </c>
      <c r="AM15">
        <f t="shared" si="4"/>
        <v>3</v>
      </c>
      <c r="AN15" s="7">
        <f t="shared" si="5"/>
        <v>0.22173913043478261</v>
      </c>
      <c r="AO15">
        <f t="shared" si="6"/>
        <v>29.900000000000002</v>
      </c>
      <c r="AP15" s="7">
        <f t="shared" si="7"/>
        <v>0.55851358024691355</v>
      </c>
      <c r="AQ15">
        <f t="shared" si="8"/>
        <v>10</v>
      </c>
      <c r="AR15">
        <f t="shared" si="9"/>
        <v>16.795459121697256</v>
      </c>
      <c r="AS15">
        <f t="shared" si="10"/>
        <v>46.695459121697255</v>
      </c>
    </row>
    <row r="16" spans="1:45" x14ac:dyDescent="0.25">
      <c r="A16">
        <v>13</v>
      </c>
      <c r="B16" t="s">
        <v>28</v>
      </c>
      <c r="C16">
        <v>1000</v>
      </c>
      <c r="D16">
        <v>63</v>
      </c>
      <c r="E16">
        <v>0</v>
      </c>
      <c r="F16">
        <v>68</v>
      </c>
      <c r="G16">
        <v>57</v>
      </c>
      <c r="H16">
        <v>61</v>
      </c>
      <c r="I16">
        <v>48</v>
      </c>
      <c r="J16" s="1">
        <v>38</v>
      </c>
      <c r="K16">
        <v>46</v>
      </c>
      <c r="L16">
        <v>52</v>
      </c>
      <c r="M16">
        <v>36</v>
      </c>
      <c r="N16">
        <v>56</v>
      </c>
      <c r="O16">
        <v>48</v>
      </c>
      <c r="P16">
        <f t="shared" si="0"/>
        <v>51.897232933730805</v>
      </c>
      <c r="Q16">
        <f t="shared" si="1"/>
        <v>57.570348679045033</v>
      </c>
      <c r="R16" t="s">
        <v>53</v>
      </c>
      <c r="S16">
        <v>23</v>
      </c>
      <c r="T16">
        <v>73</v>
      </c>
      <c r="U16">
        <v>98</v>
      </c>
      <c r="V16">
        <v>82</v>
      </c>
      <c r="W16">
        <v>52</v>
      </c>
      <c r="X16">
        <v>86</v>
      </c>
      <c r="Y16">
        <v>0</v>
      </c>
      <c r="Z16">
        <f t="shared" si="2"/>
        <v>76.519639730270072</v>
      </c>
      <c r="AA16" s="1">
        <v>12</v>
      </c>
      <c r="AB16">
        <v>7</v>
      </c>
      <c r="AC16" s="1">
        <v>12</v>
      </c>
      <c r="AD16">
        <f t="shared" si="3"/>
        <v>61.146554878976481</v>
      </c>
      <c r="AE16" t="s">
        <v>67</v>
      </c>
      <c r="AF16" t="s">
        <v>82</v>
      </c>
      <c r="AG16" t="s">
        <v>100</v>
      </c>
      <c r="AH16">
        <v>11.5</v>
      </c>
      <c r="AI16">
        <f>AH16-11</f>
        <v>0.5</v>
      </c>
      <c r="AJ16" t="s">
        <v>122</v>
      </c>
      <c r="AK16">
        <v>12.5</v>
      </c>
      <c r="AL16">
        <f>AK16-12</f>
        <v>0.5</v>
      </c>
      <c r="AM16">
        <f t="shared" si="4"/>
        <v>5</v>
      </c>
      <c r="AN16" s="7">
        <f t="shared" si="5"/>
        <v>1.5789473684210631E-2</v>
      </c>
      <c r="AO16">
        <f t="shared" si="6"/>
        <v>24.7</v>
      </c>
      <c r="AP16" s="7">
        <f t="shared" si="7"/>
        <v>0.698720987654321</v>
      </c>
      <c r="AQ16">
        <f t="shared" si="8"/>
        <v>22.333333333333336</v>
      </c>
      <c r="AR16">
        <f t="shared" si="9"/>
        <v>27.662107529254303</v>
      </c>
      <c r="AS16">
        <f t="shared" si="10"/>
        <v>52.362107529254303</v>
      </c>
    </row>
    <row r="17" spans="1:45" x14ac:dyDescent="0.25">
      <c r="A17">
        <v>8</v>
      </c>
      <c r="B17" t="s">
        <v>23</v>
      </c>
      <c r="C17">
        <v>1000</v>
      </c>
      <c r="D17">
        <v>29</v>
      </c>
      <c r="E17">
        <v>0</v>
      </c>
      <c r="F17">
        <v>31</v>
      </c>
      <c r="G17" s="1">
        <v>25</v>
      </c>
      <c r="H17">
        <v>28</v>
      </c>
      <c r="I17">
        <v>21</v>
      </c>
      <c r="J17" s="1">
        <v>31</v>
      </c>
      <c r="K17">
        <v>22</v>
      </c>
      <c r="L17">
        <v>38</v>
      </c>
      <c r="M17">
        <v>21</v>
      </c>
      <c r="N17">
        <v>48</v>
      </c>
      <c r="O17">
        <v>45</v>
      </c>
      <c r="P17">
        <f t="shared" si="0"/>
        <v>43.458938660650439</v>
      </c>
      <c r="Q17">
        <f t="shared" si="1"/>
        <v>26.728882509474577</v>
      </c>
      <c r="R17" t="s">
        <v>48</v>
      </c>
      <c r="S17">
        <v>33</v>
      </c>
      <c r="T17">
        <v>96</v>
      </c>
      <c r="U17">
        <v>93</v>
      </c>
      <c r="V17">
        <v>77</v>
      </c>
      <c r="W17">
        <v>31</v>
      </c>
      <c r="X17">
        <v>92</v>
      </c>
      <c r="Y17">
        <v>0</v>
      </c>
      <c r="Z17">
        <f t="shared" si="2"/>
        <v>72.190306479738268</v>
      </c>
      <c r="AA17" s="1">
        <v>14</v>
      </c>
      <c r="AB17" s="1">
        <v>17</v>
      </c>
      <c r="AC17" s="1">
        <v>14</v>
      </c>
      <c r="AD17">
        <f t="shared" si="3"/>
        <v>43.770307852044496</v>
      </c>
      <c r="AE17" t="s">
        <v>68</v>
      </c>
      <c r="AF17" t="s">
        <v>76</v>
      </c>
      <c r="AG17" t="s">
        <v>105</v>
      </c>
      <c r="AH17">
        <v>6.2859999999999996</v>
      </c>
      <c r="AI17">
        <f>AH17-16</f>
        <v>-9.7140000000000004</v>
      </c>
      <c r="AJ17" t="s">
        <v>124</v>
      </c>
      <c r="AK17">
        <v>5.8570000000000002</v>
      </c>
      <c r="AL17">
        <f>AK17-14</f>
        <v>-8.1430000000000007</v>
      </c>
      <c r="AM17">
        <f t="shared" si="4"/>
        <v>-13</v>
      </c>
      <c r="AN17" s="7">
        <f t="shared" si="5"/>
        <v>-0.25161290322580648</v>
      </c>
      <c r="AO17">
        <f t="shared" si="6"/>
        <v>20.150000000000002</v>
      </c>
      <c r="AP17" s="7">
        <f t="shared" si="7"/>
        <v>0.79949506172839502</v>
      </c>
      <c r="AQ17">
        <f t="shared" si="8"/>
        <v>-0.33333333333333215</v>
      </c>
      <c r="AR17">
        <f t="shared" si="9"/>
        <v>-0.68410559711236441</v>
      </c>
      <c r="AS17">
        <f t="shared" si="10"/>
        <v>19.465894402887638</v>
      </c>
    </row>
    <row r="18" spans="1:45" x14ac:dyDescent="0.25">
      <c r="A18">
        <v>0</v>
      </c>
      <c r="B18" t="s">
        <v>15</v>
      </c>
      <c r="C18">
        <v>0</v>
      </c>
      <c r="D18">
        <v>33</v>
      </c>
      <c r="E18">
        <v>0</v>
      </c>
      <c r="F18">
        <v>25</v>
      </c>
      <c r="G18" s="1">
        <v>44</v>
      </c>
      <c r="H18">
        <v>30</v>
      </c>
      <c r="I18">
        <v>26</v>
      </c>
      <c r="J18" s="1">
        <v>24</v>
      </c>
      <c r="K18">
        <v>38</v>
      </c>
      <c r="L18">
        <v>48</v>
      </c>
      <c r="M18">
        <v>23</v>
      </c>
      <c r="N18">
        <v>53</v>
      </c>
      <c r="O18">
        <v>51</v>
      </c>
      <c r="P18">
        <f t="shared" si="0"/>
        <v>50.624695928672054</v>
      </c>
      <c r="Q18">
        <f t="shared" si="1"/>
        <v>30.545573721448037</v>
      </c>
      <c r="R18" t="s">
        <v>40</v>
      </c>
      <c r="S18">
        <v>21</v>
      </c>
      <c r="T18">
        <v>95</v>
      </c>
      <c r="U18">
        <v>81</v>
      </c>
      <c r="V18">
        <v>83</v>
      </c>
      <c r="W18">
        <v>46</v>
      </c>
      <c r="X18">
        <v>70</v>
      </c>
      <c r="Y18">
        <v>0</v>
      </c>
      <c r="Z18">
        <f t="shared" si="2"/>
        <v>72.883382116408441</v>
      </c>
      <c r="AA18" s="1">
        <v>13</v>
      </c>
      <c r="AB18" s="1">
        <v>16</v>
      </c>
      <c r="AC18" s="1">
        <v>13</v>
      </c>
      <c r="AD18">
        <f t="shared" si="3"/>
        <v>48.30362721438221</v>
      </c>
      <c r="AE18" t="s">
        <v>68</v>
      </c>
      <c r="AF18" s="3" t="s">
        <v>81</v>
      </c>
      <c r="AG18" s="6" t="s">
        <v>102</v>
      </c>
      <c r="AH18">
        <v>13</v>
      </c>
      <c r="AI18">
        <f>AH18-14</f>
        <v>-1</v>
      </c>
      <c r="AJ18" s="6" t="s">
        <v>123</v>
      </c>
      <c r="AK18">
        <v>15</v>
      </c>
      <c r="AL18">
        <f>AK18-13</f>
        <v>2</v>
      </c>
      <c r="AM18">
        <f t="shared" si="4"/>
        <v>-4</v>
      </c>
      <c r="AN18" s="7">
        <f t="shared" si="5"/>
        <v>-0.67500000000000004</v>
      </c>
      <c r="AO18">
        <f t="shared" si="6"/>
        <v>15.600000000000001</v>
      </c>
      <c r="AP18" s="7">
        <f t="shared" si="7"/>
        <v>0.87982222222222217</v>
      </c>
      <c r="AQ18">
        <f t="shared" si="8"/>
        <v>12</v>
      </c>
      <c r="AR18">
        <f t="shared" si="9"/>
        <v>20.341905108624314</v>
      </c>
      <c r="AS18">
        <f t="shared" si="10"/>
        <v>35.941905108624312</v>
      </c>
    </row>
    <row r="20" spans="1:45" x14ac:dyDescent="0.25">
      <c r="AA20" s="2"/>
      <c r="AB20" s="2"/>
      <c r="AC20" s="2"/>
    </row>
    <row r="21" spans="1:45" x14ac:dyDescent="0.25">
      <c r="AA21" s="2"/>
      <c r="AB21" s="2"/>
      <c r="AC21" s="2"/>
    </row>
    <row r="23" spans="1:45" x14ac:dyDescent="0.25">
      <c r="AB23" s="1"/>
    </row>
    <row r="24" spans="1:45" x14ac:dyDescent="0.25">
      <c r="AA24" s="1"/>
      <c r="AB24" s="1"/>
      <c r="AC24" s="1"/>
      <c r="AF24" s="3"/>
      <c r="AG24" s="6"/>
      <c r="AJ24" s="6"/>
    </row>
    <row r="26" spans="1:45" x14ac:dyDescent="0.25">
      <c r="AB26" s="1"/>
    </row>
    <row r="27" spans="1:45" x14ac:dyDescent="0.25">
      <c r="AB27" s="1"/>
    </row>
  </sheetData>
  <autoFilter ref="A1:AN18" xr:uid="{94A9DEAF-4754-41E1-A6D8-10B03E1EEF36}">
    <sortState xmlns:xlrd2="http://schemas.microsoft.com/office/spreadsheetml/2017/richdata2" ref="A2:AN18">
      <sortCondition descending="1" ref="AN1:AN18"/>
    </sortState>
  </autoFilter>
  <sortState xmlns:xlrd2="http://schemas.microsoft.com/office/spreadsheetml/2017/richdata2" ref="A20:B24">
    <sortCondition ref="A20:A2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47F2C-966E-47B9-B41E-DD5DB5B4AC46}">
  <dimension ref="A2:B18"/>
  <sheetViews>
    <sheetView workbookViewId="0">
      <selection activeCell="A2" sqref="A2:B18"/>
    </sheetView>
  </sheetViews>
  <sheetFormatPr defaultRowHeight="15" x14ac:dyDescent="0.25"/>
  <cols>
    <col min="1" max="1" width="9.42578125" bestFit="1" customWidth="1"/>
    <col min="2" max="2" width="15.5703125" bestFit="1" customWidth="1"/>
  </cols>
  <sheetData>
    <row r="2" spans="1:2" x14ac:dyDescent="0.25">
      <c r="A2" t="s">
        <v>15</v>
      </c>
      <c r="B2" s="3" t="s">
        <v>81</v>
      </c>
    </row>
    <row r="3" spans="1:2" x14ac:dyDescent="0.25">
      <c r="A3" t="s">
        <v>16</v>
      </c>
      <c r="B3" t="s">
        <v>69</v>
      </c>
    </row>
    <row r="4" spans="1:2" x14ac:dyDescent="0.25">
      <c r="A4" t="s">
        <v>17</v>
      </c>
      <c r="B4" t="s">
        <v>70</v>
      </c>
    </row>
    <row r="5" spans="1:2" x14ac:dyDescent="0.25">
      <c r="A5" t="s">
        <v>18</v>
      </c>
      <c r="B5" t="s">
        <v>71</v>
      </c>
    </row>
    <row r="6" spans="1:2" x14ac:dyDescent="0.25">
      <c r="A6" t="s">
        <v>19</v>
      </c>
      <c r="B6" t="s">
        <v>72</v>
      </c>
    </row>
    <row r="7" spans="1:2" x14ac:dyDescent="0.25">
      <c r="A7" t="s">
        <v>20</v>
      </c>
      <c r="B7" t="s">
        <v>73</v>
      </c>
    </row>
    <row r="8" spans="1:2" x14ac:dyDescent="0.25">
      <c r="A8" t="s">
        <v>21</v>
      </c>
      <c r="B8" t="s">
        <v>74</v>
      </c>
    </row>
    <row r="9" spans="1:2" x14ac:dyDescent="0.25">
      <c r="A9" t="s">
        <v>22</v>
      </c>
      <c r="B9" t="s">
        <v>75</v>
      </c>
    </row>
    <row r="10" spans="1:2" x14ac:dyDescent="0.25">
      <c r="A10" t="s">
        <v>23</v>
      </c>
      <c r="B10" t="s">
        <v>76</v>
      </c>
    </row>
    <row r="11" spans="1:2" x14ac:dyDescent="0.25">
      <c r="A11" t="s">
        <v>24</v>
      </c>
      <c r="B11" t="s">
        <v>77</v>
      </c>
    </row>
    <row r="12" spans="1:2" x14ac:dyDescent="0.25">
      <c r="A12" t="s">
        <v>25</v>
      </c>
      <c r="B12" t="s">
        <v>78</v>
      </c>
    </row>
    <row r="13" spans="1:2" x14ac:dyDescent="0.25">
      <c r="A13" t="s">
        <v>26</v>
      </c>
      <c r="B13" t="s">
        <v>79</v>
      </c>
    </row>
    <row r="14" spans="1:2" x14ac:dyDescent="0.25">
      <c r="A14" t="s">
        <v>27</v>
      </c>
      <c r="B14" t="s">
        <v>80</v>
      </c>
    </row>
    <row r="15" spans="1:2" x14ac:dyDescent="0.25">
      <c r="A15" t="s">
        <v>28</v>
      </c>
      <c r="B15" t="s">
        <v>82</v>
      </c>
    </row>
    <row r="16" spans="1:2" x14ac:dyDescent="0.25">
      <c r="A16" t="s">
        <v>29</v>
      </c>
      <c r="B16" t="s">
        <v>83</v>
      </c>
    </row>
    <row r="17" spans="1:2" x14ac:dyDescent="0.25">
      <c r="A17" t="s">
        <v>30</v>
      </c>
      <c r="B17" t="s">
        <v>84</v>
      </c>
    </row>
    <row r="18" spans="1:2" x14ac:dyDescent="0.25">
      <c r="A18" t="s">
        <v>31</v>
      </c>
      <c r="B18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2FBA0-BF08-445E-BCCD-AFF8EB7E60BD}">
  <dimension ref="A1:E13"/>
  <sheetViews>
    <sheetView workbookViewId="0">
      <selection activeCell="J18" sqref="J18"/>
    </sheetView>
  </sheetViews>
  <sheetFormatPr defaultRowHeight="15" x14ac:dyDescent="0.25"/>
  <sheetData>
    <row r="1" spans="1:5" x14ac:dyDescent="0.25">
      <c r="A1" t="s">
        <v>1</v>
      </c>
      <c r="B1" t="s">
        <v>15</v>
      </c>
      <c r="D1" t="s">
        <v>1</v>
      </c>
      <c r="E1" t="s">
        <v>18</v>
      </c>
    </row>
    <row r="2" spans="1:5" x14ac:dyDescent="0.25">
      <c r="A2" t="s">
        <v>4</v>
      </c>
      <c r="B2">
        <v>0</v>
      </c>
      <c r="D2" t="s">
        <v>4</v>
      </c>
      <c r="E2">
        <v>0</v>
      </c>
    </row>
    <row r="3" spans="1:5" x14ac:dyDescent="0.25">
      <c r="A3" s="4" t="s">
        <v>12</v>
      </c>
      <c r="B3" s="4">
        <v>23</v>
      </c>
      <c r="D3" t="s">
        <v>5</v>
      </c>
      <c r="E3">
        <v>38</v>
      </c>
    </row>
    <row r="4" spans="1:5" x14ac:dyDescent="0.25">
      <c r="A4" s="4" t="s">
        <v>9</v>
      </c>
      <c r="B4" s="4">
        <v>24</v>
      </c>
      <c r="D4" t="s">
        <v>14</v>
      </c>
      <c r="E4">
        <v>38</v>
      </c>
    </row>
    <row r="5" spans="1:5" x14ac:dyDescent="0.25">
      <c r="A5" t="s">
        <v>5</v>
      </c>
      <c r="B5">
        <v>25</v>
      </c>
      <c r="D5" t="s">
        <v>11</v>
      </c>
      <c r="E5">
        <v>41</v>
      </c>
    </row>
    <row r="6" spans="1:5" x14ac:dyDescent="0.25">
      <c r="A6" s="4" t="s">
        <v>8</v>
      </c>
      <c r="B6" s="4">
        <v>26</v>
      </c>
      <c r="D6" t="s">
        <v>13</v>
      </c>
      <c r="E6">
        <v>41</v>
      </c>
    </row>
    <row r="7" spans="1:5" x14ac:dyDescent="0.25">
      <c r="A7" t="s">
        <v>7</v>
      </c>
      <c r="B7">
        <v>30</v>
      </c>
      <c r="D7" t="s">
        <v>3</v>
      </c>
      <c r="E7">
        <v>42</v>
      </c>
    </row>
    <row r="8" spans="1:5" x14ac:dyDescent="0.25">
      <c r="A8" t="s">
        <v>3</v>
      </c>
      <c r="B8">
        <v>33</v>
      </c>
      <c r="D8" t="s">
        <v>8</v>
      </c>
      <c r="E8">
        <v>52</v>
      </c>
    </row>
    <row r="9" spans="1:5" x14ac:dyDescent="0.25">
      <c r="A9" t="s">
        <v>10</v>
      </c>
      <c r="B9">
        <v>38</v>
      </c>
      <c r="D9" s="5" t="s">
        <v>12</v>
      </c>
      <c r="E9" s="5">
        <v>53</v>
      </c>
    </row>
    <row r="10" spans="1:5" x14ac:dyDescent="0.25">
      <c r="A10" t="s">
        <v>6</v>
      </c>
      <c r="B10">
        <v>44</v>
      </c>
      <c r="D10" t="s">
        <v>6</v>
      </c>
      <c r="E10">
        <v>58</v>
      </c>
    </row>
    <row r="11" spans="1:5" x14ac:dyDescent="0.25">
      <c r="A11" t="s">
        <v>11</v>
      </c>
      <c r="B11">
        <v>48</v>
      </c>
      <c r="D11" t="s">
        <v>7</v>
      </c>
      <c r="E11">
        <v>61</v>
      </c>
    </row>
    <row r="12" spans="1:5" x14ac:dyDescent="0.25">
      <c r="A12" t="s">
        <v>14</v>
      </c>
      <c r="B12">
        <v>51</v>
      </c>
      <c r="D12" t="s">
        <v>10</v>
      </c>
      <c r="E12">
        <v>72</v>
      </c>
    </row>
    <row r="13" spans="1:5" x14ac:dyDescent="0.25">
      <c r="A13" t="s">
        <v>13</v>
      </c>
      <c r="B13">
        <v>53</v>
      </c>
      <c r="D13" s="5" t="s">
        <v>9</v>
      </c>
      <c r="E13" s="5">
        <v>74</v>
      </c>
    </row>
  </sheetData>
  <sortState xmlns:xlrd2="http://schemas.microsoft.com/office/spreadsheetml/2017/richdata2" ref="D2:E13">
    <sortCondition ref="E2:E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17fief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Isaacson</cp:lastModifiedBy>
  <dcterms:created xsi:type="dcterms:W3CDTF">2026-05-19T21:44:26Z</dcterms:created>
  <dcterms:modified xsi:type="dcterms:W3CDTF">2026-05-29T17:00:24Z</dcterms:modified>
</cp:coreProperties>
</file>