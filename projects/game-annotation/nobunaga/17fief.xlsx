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.Isaacson\Vault\projects\game-annotation\nobunaga\"/>
    </mc:Choice>
  </mc:AlternateContent>
  <xr:revisionPtr revIDLastSave="0" documentId="8_{E7176BF6-4A4A-4741-AADD-E2805A783833}" xr6:coauthVersionLast="47" xr6:coauthVersionMax="47" xr10:uidLastSave="{00000000-0000-0000-0000-000000000000}"/>
  <bookViews>
    <workbookView xWindow="5730" yWindow="3165" windowWidth="21600" windowHeight="12645" xr2:uid="{FDB40808-8C5F-486C-AF63-A8D18F3A0A01}"/>
  </bookViews>
  <sheets>
    <sheet name="17fief" sheetId="1" r:id="rId1"/>
  </sheets>
  <calcPr calcId="0"/>
</workbook>
</file>

<file path=xl/calcChain.xml><?xml version="1.0" encoding="utf-8"?>
<calcChain xmlns="http://schemas.openxmlformats.org/spreadsheetml/2006/main">
  <c r="Q2" i="1" l="1"/>
  <c r="Q6" i="1"/>
  <c r="Q7" i="1"/>
  <c r="Q12" i="1"/>
  <c r="Q8" i="1"/>
  <c r="Q18" i="1"/>
  <c r="Q9" i="1"/>
  <c r="Q16" i="1"/>
  <c r="Q17" i="1"/>
  <c r="Q3" i="1"/>
  <c r="Q11" i="1"/>
  <c r="Q13" i="1"/>
  <c r="Q10" i="1"/>
  <c r="AD10" i="1" s="1"/>
  <c r="Q14" i="1"/>
  <c r="Q4" i="1"/>
  <c r="Q5" i="1"/>
  <c r="Q15" i="1"/>
  <c r="P2" i="1"/>
  <c r="P6" i="1"/>
  <c r="P7" i="1"/>
  <c r="AD7" i="1" s="1"/>
  <c r="P12" i="1"/>
  <c r="P8" i="1"/>
  <c r="P18" i="1"/>
  <c r="P9" i="1"/>
  <c r="P16" i="1"/>
  <c r="P17" i="1"/>
  <c r="P3" i="1"/>
  <c r="P11" i="1"/>
  <c r="P13" i="1"/>
  <c r="P10" i="1"/>
  <c r="P14" i="1"/>
  <c r="P4" i="1"/>
  <c r="P5" i="1"/>
  <c r="P15" i="1"/>
  <c r="Z2" i="1"/>
  <c r="Z6" i="1"/>
  <c r="Z7" i="1"/>
  <c r="Z12" i="1"/>
  <c r="Z8" i="1"/>
  <c r="Z18" i="1"/>
  <c r="Z9" i="1"/>
  <c r="Z16" i="1"/>
  <c r="Z17" i="1"/>
  <c r="Z3" i="1"/>
  <c r="Z11" i="1"/>
  <c r="Z13" i="1"/>
  <c r="Z10" i="1"/>
  <c r="Z14" i="1"/>
  <c r="Z4" i="1"/>
  <c r="Z5" i="1"/>
  <c r="Z15" i="1"/>
  <c r="AD12" i="1" l="1"/>
  <c r="AD6" i="1"/>
  <c r="AD2" i="1"/>
  <c r="AD18" i="1"/>
  <c r="AD4" i="1"/>
  <c r="AD9" i="1"/>
  <c r="AD13" i="1"/>
  <c r="AD3" i="1"/>
  <c r="AD17" i="1"/>
  <c r="AD15" i="1"/>
  <c r="AD8" i="1"/>
  <c r="AD5" i="1"/>
  <c r="AD14" i="1"/>
  <c r="AD11" i="1"/>
  <c r="AD16" i="1"/>
</calcChain>
</file>

<file path=xl/sharedStrings.xml><?xml version="1.0" encoding="utf-8"?>
<sst xmlns="http://schemas.openxmlformats.org/spreadsheetml/2006/main" count="98" uniqueCount="86">
  <si>
    <t>idx</t>
  </si>
  <si>
    <t>name</t>
  </si>
  <si>
    <t>header</t>
  </si>
  <si>
    <t>gold</t>
  </si>
  <si>
    <t>debt</t>
  </si>
  <si>
    <t>town</t>
  </si>
  <si>
    <t>rice</t>
  </si>
  <si>
    <t>output</t>
  </si>
  <si>
    <t>dams</t>
  </si>
  <si>
    <t>loyalty</t>
  </si>
  <si>
    <t>wealth</t>
  </si>
  <si>
    <t>men</t>
  </si>
  <si>
    <t>morale</t>
  </si>
  <si>
    <t>skill</t>
  </si>
  <si>
    <t>arms</t>
  </si>
  <si>
    <t>Noto</t>
  </si>
  <si>
    <t>Echigo</t>
  </si>
  <si>
    <t>Musashi</t>
  </si>
  <si>
    <t>Kaga</t>
  </si>
  <si>
    <t>Echizen</t>
  </si>
  <si>
    <t>Hida</t>
  </si>
  <si>
    <t>Suruga</t>
  </si>
  <si>
    <t>Mikawa</t>
  </si>
  <si>
    <t>Mino</t>
  </si>
  <si>
    <t>Yamato</t>
  </si>
  <si>
    <t>Omi</t>
  </si>
  <si>
    <t>Iga</t>
  </si>
  <si>
    <t>Iseshima</t>
  </si>
  <si>
    <t>Yamashir</t>
  </si>
  <si>
    <t>Settsu</t>
  </si>
  <si>
    <t>Shinano</t>
  </si>
  <si>
    <t>Owari</t>
  </si>
  <si>
    <t>clan</t>
  </si>
  <si>
    <t>age</t>
  </si>
  <si>
    <t>health</t>
  </si>
  <si>
    <t>drive</t>
  </si>
  <si>
    <t>luck</t>
  </si>
  <si>
    <t>charisma</t>
  </si>
  <si>
    <t>iq</t>
  </si>
  <si>
    <t>status</t>
  </si>
  <si>
    <t>Hatakeya</t>
  </si>
  <si>
    <t>Uesugi</t>
  </si>
  <si>
    <t>Hojo</t>
  </si>
  <si>
    <t>Honganji</t>
  </si>
  <si>
    <t>Asakura</t>
  </si>
  <si>
    <t>Anekoji</t>
  </si>
  <si>
    <t>Imagawa</t>
  </si>
  <si>
    <t>Tokugawa</t>
  </si>
  <si>
    <t>Saito</t>
  </si>
  <si>
    <t>Tsutsui</t>
  </si>
  <si>
    <t>Asai</t>
  </si>
  <si>
    <t>Rokkaku</t>
  </si>
  <si>
    <t>Kitabata</t>
  </si>
  <si>
    <t>Ashikaga</t>
  </si>
  <si>
    <t>Miyoshi</t>
  </si>
  <si>
    <t>Takeda</t>
  </si>
  <si>
    <t>Oda</t>
  </si>
  <si>
    <t>Mil</t>
  </si>
  <si>
    <t>pow</t>
  </si>
  <si>
    <t>RM</t>
  </si>
  <si>
    <t>RT</t>
  </si>
  <si>
    <t>RP</t>
  </si>
  <si>
    <t>BV</t>
  </si>
  <si>
    <t>S</t>
  </si>
  <si>
    <t>C</t>
  </si>
  <si>
    <t>A</t>
  </si>
  <si>
    <t>B</t>
  </si>
  <si>
    <t>D</t>
  </si>
  <si>
    <t>F</t>
  </si>
  <si>
    <t>2,3,15</t>
  </si>
  <si>
    <t>1,6,15</t>
  </si>
  <si>
    <t>0,1,4,5,15</t>
  </si>
  <si>
    <t>3,5,8,10</t>
  </si>
  <si>
    <t>3,4,8,15</t>
  </si>
  <si>
    <t>2,7,15</t>
  </si>
  <si>
    <t>6,8,15,16</t>
  </si>
  <si>
    <t>4,5,7,10,12,15,16</t>
  </si>
  <si>
    <t>11,12,13,14</t>
  </si>
  <si>
    <t>4,8,11,12,13</t>
  </si>
  <si>
    <t>9,10,12,13</t>
  </si>
  <si>
    <t>8,9,10,11,16</t>
  </si>
  <si>
    <t>3</t>
  </si>
  <si>
    <t>9,10,11,14</t>
  </si>
  <si>
    <t>9,13</t>
  </si>
  <si>
    <t>1,2,3,5,6,7,8</t>
  </si>
  <si>
    <t>7,8,12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</si>
</sst>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B050"/>
      <name val="Aptos Narrow"/>
      <family val="2"/>
      <scheme val="minor"/>
    </font>
    <font>
      <sz val="1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4" fillId="0" borderId="0" xfId="0" applyFont="1"/>
    <xf numFmtId="0" fontId="18" fillId="0" borderId="0" xfId="0" applyFont="1"/>
    <xf numFmtId="0" fontId="19" fillId="0" borderId="0" xfId="0" quotePrefix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9DEAF-4754-41E1-A6D8-10B03E1EEF36}">
  <dimension ref="A1:AF18"/>
  <sheetViews>
    <sheetView tabSelected="1" workbookViewId="0">
      <selection activeCell="A16" sqref="A16:XFD16"/>
    </sheetView>
  </sheetViews>
  <sheetFormatPr defaultRowHeight="15" x14ac:dyDescent="0.25"/>
  <cols>
    <col min="1" max="1" width="3.5703125" bestFit="1" customWidth="1"/>
    <col min="2" max="2" width="9.42578125" bestFit="1" customWidth="1"/>
    <col min="3" max="3" width="7.140625" bestFit="1" customWidth="1"/>
    <col min="4" max="5" width="4.85546875" bestFit="1" customWidth="1"/>
    <col min="6" max="6" width="5.28515625" bestFit="1" customWidth="1"/>
    <col min="7" max="7" width="4.28515625" bestFit="1" customWidth="1"/>
    <col min="8" max="8" width="5.42578125" customWidth="1"/>
    <col min="9" max="9" width="6" bestFit="1" customWidth="1"/>
    <col min="10" max="10" width="5.140625" customWidth="1"/>
    <col min="11" max="11" width="4.7109375" customWidth="1"/>
    <col min="12" max="12" width="4.85546875" bestFit="1" customWidth="1"/>
    <col min="13" max="13" width="5.140625" customWidth="1"/>
    <col min="14" max="14" width="4.7109375" bestFit="1" customWidth="1"/>
    <col min="15" max="15" width="5.5703125" bestFit="1" customWidth="1"/>
    <col min="16" max="16" width="5.5703125" customWidth="1"/>
    <col min="17" max="17" width="5.28515625" bestFit="1" customWidth="1"/>
    <col min="18" max="18" width="10" bestFit="1" customWidth="1"/>
    <col min="19" max="19" width="4.140625" bestFit="1" customWidth="1"/>
    <col min="20" max="20" width="6.5703125" bestFit="1" customWidth="1"/>
    <col min="21" max="21" width="5.28515625" bestFit="1" customWidth="1"/>
    <col min="22" max="22" width="4.7109375" bestFit="1" customWidth="1"/>
    <col min="23" max="23" width="9.42578125" bestFit="1" customWidth="1"/>
    <col min="24" max="24" width="4" bestFit="1" customWidth="1"/>
    <col min="25" max="25" width="6.42578125" bestFit="1" customWidth="1"/>
    <col min="26" max="26" width="6.7109375" customWidth="1"/>
    <col min="27" max="27" width="4.42578125" customWidth="1"/>
    <col min="28" max="28" width="4" customWidth="1"/>
    <col min="29" max="29" width="4.42578125" customWidth="1"/>
    <col min="30" max="30" width="6.28515625" customWidth="1"/>
    <col min="31" max="31" width="4.42578125" customWidth="1"/>
    <col min="32" max="32" width="15.5703125" bestFit="1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57</v>
      </c>
      <c r="Q1" t="s">
        <v>5</v>
      </c>
      <c r="R1" t="s">
        <v>32</v>
      </c>
      <c r="S1" t="s">
        <v>33</v>
      </c>
      <c r="T1" t="s">
        <v>34</v>
      </c>
      <c r="U1" t="s">
        <v>35</v>
      </c>
      <c r="V1" t="s">
        <v>36</v>
      </c>
      <c r="W1" t="s">
        <v>37</v>
      </c>
      <c r="X1" t="s">
        <v>38</v>
      </c>
      <c r="Y1" t="s">
        <v>39</v>
      </c>
      <c r="Z1" t="s">
        <v>58</v>
      </c>
      <c r="AA1" t="s">
        <v>59</v>
      </c>
      <c r="AB1" t="s">
        <v>60</v>
      </c>
      <c r="AC1" t="s">
        <v>61</v>
      </c>
      <c r="AD1" t="s">
        <v>62</v>
      </c>
    </row>
    <row r="2" spans="1:32" x14ac:dyDescent="0.25">
      <c r="A2">
        <v>16</v>
      </c>
      <c r="B2" t="s">
        <v>31</v>
      </c>
      <c r="C2">
        <v>1000</v>
      </c>
      <c r="D2">
        <v>62</v>
      </c>
      <c r="E2">
        <v>0</v>
      </c>
      <c r="F2">
        <v>58</v>
      </c>
      <c r="G2">
        <v>80</v>
      </c>
      <c r="H2">
        <v>80</v>
      </c>
      <c r="I2">
        <v>80</v>
      </c>
      <c r="J2">
        <v>71</v>
      </c>
      <c r="K2">
        <v>72</v>
      </c>
      <c r="L2">
        <v>78</v>
      </c>
      <c r="M2">
        <v>77</v>
      </c>
      <c r="N2">
        <v>78</v>
      </c>
      <c r="O2">
        <v>80</v>
      </c>
      <c r="P2">
        <f>(L2*N2*O2)^(1/3)</f>
        <v>78.661048467230643</v>
      </c>
      <c r="Q2">
        <f>(F2*H2*K2)^(1/3)</f>
        <v>69.38785980258659</v>
      </c>
      <c r="R2" t="s">
        <v>56</v>
      </c>
      <c r="S2">
        <v>26</v>
      </c>
      <c r="T2">
        <v>102</v>
      </c>
      <c r="U2">
        <v>115</v>
      </c>
      <c r="V2">
        <v>111</v>
      </c>
      <c r="W2">
        <v>106</v>
      </c>
      <c r="X2">
        <v>108</v>
      </c>
      <c r="Y2">
        <v>0</v>
      </c>
      <c r="Z2">
        <f>(T2*U2*V2*W2*X2)^(1/5)</f>
        <v>108.3103906739629</v>
      </c>
      <c r="AA2" s="2">
        <v>1</v>
      </c>
      <c r="AB2" s="2">
        <v>2</v>
      </c>
      <c r="AC2" s="2">
        <v>2</v>
      </c>
      <c r="AD2">
        <f>(P2*Q2*Z2)^(1/3)</f>
        <v>83.92753126291089</v>
      </c>
      <c r="AE2" t="s">
        <v>63</v>
      </c>
      <c r="AF2" t="s">
        <v>85</v>
      </c>
    </row>
    <row r="3" spans="1:32" x14ac:dyDescent="0.25">
      <c r="A3">
        <v>7</v>
      </c>
      <c r="B3" t="s">
        <v>22</v>
      </c>
      <c r="C3">
        <v>1000</v>
      </c>
      <c r="D3">
        <v>69</v>
      </c>
      <c r="E3">
        <v>0</v>
      </c>
      <c r="F3">
        <v>66</v>
      </c>
      <c r="G3">
        <v>75</v>
      </c>
      <c r="H3">
        <v>80</v>
      </c>
      <c r="I3">
        <v>80</v>
      </c>
      <c r="J3">
        <v>76</v>
      </c>
      <c r="K3">
        <v>77</v>
      </c>
      <c r="L3">
        <v>71</v>
      </c>
      <c r="M3">
        <v>75</v>
      </c>
      <c r="N3">
        <v>74</v>
      </c>
      <c r="O3">
        <v>73</v>
      </c>
      <c r="P3">
        <f>(L3*N3*O3)^(1/3)</f>
        <v>72.655914952014115</v>
      </c>
      <c r="Q3">
        <f>(F3*H3*K3)^(1/3)</f>
        <v>74.081235357026699</v>
      </c>
      <c r="R3" t="s">
        <v>47</v>
      </c>
      <c r="S3">
        <v>18</v>
      </c>
      <c r="T3">
        <v>104</v>
      </c>
      <c r="U3">
        <v>102</v>
      </c>
      <c r="V3">
        <v>115</v>
      </c>
      <c r="W3">
        <v>110</v>
      </c>
      <c r="X3">
        <v>115</v>
      </c>
      <c r="Y3">
        <v>0</v>
      </c>
      <c r="Z3">
        <f>(T3*U3*V3*W3*X3)^(1/5)</f>
        <v>109.06474175824731</v>
      </c>
      <c r="AA3" s="2">
        <v>3</v>
      </c>
      <c r="AB3" s="2">
        <v>1</v>
      </c>
      <c r="AC3" s="2">
        <v>1</v>
      </c>
      <c r="AD3">
        <f>(P3*Q3*Z3)^(1/3)</f>
        <v>83.731304197638465</v>
      </c>
      <c r="AE3" t="s">
        <v>63</v>
      </c>
      <c r="AF3" t="s">
        <v>75</v>
      </c>
    </row>
    <row r="4" spans="1:32" x14ac:dyDescent="0.25">
      <c r="A4">
        <v>2</v>
      </c>
      <c r="B4" t="s">
        <v>17</v>
      </c>
      <c r="C4">
        <v>1000</v>
      </c>
      <c r="D4">
        <v>53</v>
      </c>
      <c r="E4">
        <v>0</v>
      </c>
      <c r="F4">
        <v>61</v>
      </c>
      <c r="G4">
        <v>80</v>
      </c>
      <c r="H4">
        <v>80</v>
      </c>
      <c r="I4">
        <v>75</v>
      </c>
      <c r="J4">
        <v>63</v>
      </c>
      <c r="K4">
        <v>65</v>
      </c>
      <c r="L4">
        <v>70</v>
      </c>
      <c r="M4">
        <v>68</v>
      </c>
      <c r="N4">
        <v>68</v>
      </c>
      <c r="O4">
        <v>65</v>
      </c>
      <c r="P4">
        <f>(L4*N4*O4)^(1/3)</f>
        <v>67.635302453070338</v>
      </c>
      <c r="Q4">
        <f>(F4*H4*K4)^(1/3)</f>
        <v>68.19895596134819</v>
      </c>
      <c r="R4" t="s">
        <v>42</v>
      </c>
      <c r="S4">
        <v>22</v>
      </c>
      <c r="T4">
        <v>91</v>
      </c>
      <c r="U4">
        <v>101</v>
      </c>
      <c r="V4">
        <v>104</v>
      </c>
      <c r="W4">
        <v>88</v>
      </c>
      <c r="X4">
        <v>106</v>
      </c>
      <c r="Y4">
        <v>0</v>
      </c>
      <c r="Z4">
        <f>(T4*U4*V4*W4*X4)^(1/5)</f>
        <v>97.732032010306668</v>
      </c>
      <c r="AA4">
        <v>7</v>
      </c>
      <c r="AB4" s="2">
        <v>3</v>
      </c>
      <c r="AC4" s="2">
        <v>6</v>
      </c>
      <c r="AD4">
        <f>(P4*Q4*Z4)^(1/3)</f>
        <v>76.676573510804658</v>
      </c>
      <c r="AE4" t="s">
        <v>65</v>
      </c>
      <c r="AF4" t="s">
        <v>70</v>
      </c>
    </row>
    <row r="5" spans="1:32" x14ac:dyDescent="0.25">
      <c r="A5">
        <v>1</v>
      </c>
      <c r="B5" t="s">
        <v>16</v>
      </c>
      <c r="C5">
        <v>1000</v>
      </c>
      <c r="D5">
        <v>63</v>
      </c>
      <c r="E5">
        <v>0</v>
      </c>
      <c r="F5">
        <v>48</v>
      </c>
      <c r="G5">
        <v>79</v>
      </c>
      <c r="H5">
        <v>80</v>
      </c>
      <c r="I5">
        <v>78</v>
      </c>
      <c r="J5">
        <v>79</v>
      </c>
      <c r="K5">
        <v>70</v>
      </c>
      <c r="L5">
        <v>74</v>
      </c>
      <c r="M5">
        <v>74</v>
      </c>
      <c r="N5">
        <v>61</v>
      </c>
      <c r="O5">
        <v>71</v>
      </c>
      <c r="P5">
        <f>(L5*N5*O5)^(1/3)</f>
        <v>68.434216775695589</v>
      </c>
      <c r="Q5">
        <f>(F5*H5*K5)^(1/3)</f>
        <v>64.537145840981722</v>
      </c>
      <c r="R5" t="s">
        <v>41</v>
      </c>
      <c r="S5">
        <v>30</v>
      </c>
      <c r="T5">
        <v>82</v>
      </c>
      <c r="U5">
        <v>106</v>
      </c>
      <c r="V5">
        <v>89</v>
      </c>
      <c r="W5">
        <v>113</v>
      </c>
      <c r="X5">
        <v>110</v>
      </c>
      <c r="Y5">
        <v>0</v>
      </c>
      <c r="Z5">
        <f>(T5*U5*V5*W5*X5)^(1/5)</f>
        <v>99.219302709069495</v>
      </c>
      <c r="AA5" s="2">
        <v>6</v>
      </c>
      <c r="AB5" s="2">
        <v>4</v>
      </c>
      <c r="AC5" s="2">
        <v>5</v>
      </c>
      <c r="AD5">
        <f>(P5*Q5*Z5)^(1/3)</f>
        <v>75.955590109188009</v>
      </c>
      <c r="AE5" t="s">
        <v>65</v>
      </c>
      <c r="AF5" t="s">
        <v>69</v>
      </c>
    </row>
    <row r="6" spans="1:32" x14ac:dyDescent="0.25">
      <c r="A6">
        <v>15</v>
      </c>
      <c r="B6" t="s">
        <v>30</v>
      </c>
      <c r="C6">
        <v>1000</v>
      </c>
      <c r="D6">
        <v>73</v>
      </c>
      <c r="E6">
        <v>0</v>
      </c>
      <c r="F6">
        <v>78</v>
      </c>
      <c r="G6">
        <v>40</v>
      </c>
      <c r="H6">
        <v>46</v>
      </c>
      <c r="I6">
        <v>80</v>
      </c>
      <c r="J6">
        <v>74</v>
      </c>
      <c r="K6">
        <v>68</v>
      </c>
      <c r="L6">
        <v>72</v>
      </c>
      <c r="M6">
        <v>73</v>
      </c>
      <c r="N6">
        <v>71</v>
      </c>
      <c r="O6">
        <v>63</v>
      </c>
      <c r="P6">
        <f>(L6*N6*O6)^(1/3)</f>
        <v>68.545213193224626</v>
      </c>
      <c r="Q6">
        <f>(F6*H6*K6)^(1/3)</f>
        <v>62.486631807533421</v>
      </c>
      <c r="R6" t="s">
        <v>55</v>
      </c>
      <c r="S6">
        <v>39</v>
      </c>
      <c r="T6">
        <v>98</v>
      </c>
      <c r="U6">
        <v>104</v>
      </c>
      <c r="V6">
        <v>93</v>
      </c>
      <c r="W6">
        <v>101</v>
      </c>
      <c r="X6">
        <v>112</v>
      </c>
      <c r="Y6">
        <v>0</v>
      </c>
      <c r="Z6">
        <f>(T6*U6*V6*W6*X6)^(1/5)</f>
        <v>101.40429546223</v>
      </c>
      <c r="AA6" s="2">
        <v>5</v>
      </c>
      <c r="AB6" s="2">
        <v>6</v>
      </c>
      <c r="AC6" s="2">
        <v>3</v>
      </c>
      <c r="AD6">
        <f>(P6*Q6*Z6)^(1/3)</f>
        <v>75.730972363733088</v>
      </c>
      <c r="AE6" t="s">
        <v>65</v>
      </c>
      <c r="AF6" t="s">
        <v>84</v>
      </c>
    </row>
    <row r="7" spans="1:32" x14ac:dyDescent="0.25">
      <c r="A7">
        <v>14</v>
      </c>
      <c r="B7" t="s">
        <v>29</v>
      </c>
      <c r="C7">
        <v>1000</v>
      </c>
      <c r="D7">
        <v>62</v>
      </c>
      <c r="E7">
        <v>0</v>
      </c>
      <c r="F7">
        <v>68</v>
      </c>
      <c r="G7">
        <v>69</v>
      </c>
      <c r="H7">
        <v>63</v>
      </c>
      <c r="I7">
        <v>63</v>
      </c>
      <c r="J7">
        <v>65</v>
      </c>
      <c r="K7">
        <v>61</v>
      </c>
      <c r="L7">
        <v>69</v>
      </c>
      <c r="M7">
        <v>70</v>
      </c>
      <c r="N7">
        <v>69</v>
      </c>
      <c r="O7">
        <v>58</v>
      </c>
      <c r="P7">
        <f>(L7*N7*O7)^(1/3)</f>
        <v>65.119150290655128</v>
      </c>
      <c r="Q7">
        <f>(F7*H7*K7)^(1/3)</f>
        <v>63.933198527852717</v>
      </c>
      <c r="R7" t="s">
        <v>54</v>
      </c>
      <c r="S7">
        <v>38</v>
      </c>
      <c r="T7">
        <v>96</v>
      </c>
      <c r="U7">
        <v>106</v>
      </c>
      <c r="V7">
        <v>86</v>
      </c>
      <c r="W7">
        <v>101</v>
      </c>
      <c r="X7">
        <v>81</v>
      </c>
      <c r="Y7">
        <v>0</v>
      </c>
      <c r="Z7">
        <f>(T7*U7*V7*W7*X7)^(1/5)</f>
        <v>93.535481974801968</v>
      </c>
      <c r="AA7">
        <v>8</v>
      </c>
      <c r="AB7" s="2">
        <v>5</v>
      </c>
      <c r="AC7">
        <v>7</v>
      </c>
      <c r="AD7">
        <f>(P7*Q7*Z7)^(1/3)</f>
        <v>73.024823385404346</v>
      </c>
      <c r="AE7" t="s">
        <v>66</v>
      </c>
      <c r="AF7" t="s">
        <v>83</v>
      </c>
    </row>
    <row r="8" spans="1:32" x14ac:dyDescent="0.25">
      <c r="A8">
        <v>12</v>
      </c>
      <c r="B8" t="s">
        <v>27</v>
      </c>
      <c r="C8">
        <v>1000</v>
      </c>
      <c r="D8">
        <v>55</v>
      </c>
      <c r="E8">
        <v>0</v>
      </c>
      <c r="F8">
        <v>51</v>
      </c>
      <c r="G8">
        <v>52</v>
      </c>
      <c r="H8">
        <v>48</v>
      </c>
      <c r="I8">
        <v>76</v>
      </c>
      <c r="J8">
        <v>65</v>
      </c>
      <c r="K8">
        <v>60</v>
      </c>
      <c r="L8">
        <v>74</v>
      </c>
      <c r="M8">
        <v>65</v>
      </c>
      <c r="N8">
        <v>75</v>
      </c>
      <c r="O8">
        <v>71</v>
      </c>
      <c r="P8">
        <f>(L8*N8*O8)^(1/3)</f>
        <v>73.313470286134418</v>
      </c>
      <c r="Q8">
        <f>(F8*H8*K8)^(1/3)</f>
        <v>52.761956065898168</v>
      </c>
      <c r="R8" t="s">
        <v>52</v>
      </c>
      <c r="S8">
        <v>32</v>
      </c>
      <c r="T8">
        <v>115</v>
      </c>
      <c r="U8">
        <v>110</v>
      </c>
      <c r="V8">
        <v>102</v>
      </c>
      <c r="W8">
        <v>85</v>
      </c>
      <c r="X8">
        <v>88</v>
      </c>
      <c r="Y8">
        <v>0</v>
      </c>
      <c r="Z8">
        <f>(T8*U8*V8*W8*X8)^(1/5)</f>
        <v>99.292960339357776</v>
      </c>
      <c r="AA8" s="2">
        <v>2</v>
      </c>
      <c r="AB8" s="1">
        <v>12</v>
      </c>
      <c r="AC8" s="2">
        <v>4</v>
      </c>
      <c r="AD8">
        <f>(P8*Q8*Z8)^(1/3)</f>
        <v>72.689950774447908</v>
      </c>
      <c r="AE8" t="s">
        <v>66</v>
      </c>
      <c r="AF8" t="s">
        <v>80</v>
      </c>
    </row>
    <row r="9" spans="1:32" x14ac:dyDescent="0.25">
      <c r="A9">
        <v>10</v>
      </c>
      <c r="B9" t="s">
        <v>25</v>
      </c>
      <c r="C9">
        <v>1000</v>
      </c>
      <c r="D9">
        <v>58</v>
      </c>
      <c r="E9">
        <v>0</v>
      </c>
      <c r="F9">
        <v>53</v>
      </c>
      <c r="G9">
        <v>69</v>
      </c>
      <c r="H9">
        <v>57</v>
      </c>
      <c r="I9">
        <v>61</v>
      </c>
      <c r="J9">
        <v>58</v>
      </c>
      <c r="K9">
        <v>57</v>
      </c>
      <c r="L9">
        <v>58</v>
      </c>
      <c r="M9">
        <v>61</v>
      </c>
      <c r="N9">
        <v>72</v>
      </c>
      <c r="O9">
        <v>63</v>
      </c>
      <c r="P9">
        <f>(L9*N9*O9)^(1/3)</f>
        <v>64.07673088570175</v>
      </c>
      <c r="Q9">
        <f>(F9*H9*K9)^(1/3)</f>
        <v>55.634201650752019</v>
      </c>
      <c r="R9" t="s">
        <v>50</v>
      </c>
      <c r="S9">
        <v>15</v>
      </c>
      <c r="T9">
        <v>86</v>
      </c>
      <c r="U9">
        <v>90</v>
      </c>
      <c r="V9">
        <v>96</v>
      </c>
      <c r="W9">
        <v>81</v>
      </c>
      <c r="X9">
        <v>92</v>
      </c>
      <c r="Y9">
        <v>0</v>
      </c>
      <c r="Z9">
        <f>(T9*U9*V9*W9*X9)^(1/5)</f>
        <v>88.849913225041462</v>
      </c>
      <c r="AA9">
        <v>9</v>
      </c>
      <c r="AB9">
        <v>9</v>
      </c>
      <c r="AC9">
        <v>9</v>
      </c>
      <c r="AD9">
        <f>(P9*Q9*Z9)^(1/3)</f>
        <v>68.165779428031499</v>
      </c>
      <c r="AE9" t="s">
        <v>64</v>
      </c>
      <c r="AF9" t="s">
        <v>78</v>
      </c>
    </row>
    <row r="10" spans="1:32" x14ac:dyDescent="0.25">
      <c r="A10">
        <v>4</v>
      </c>
      <c r="B10" t="s">
        <v>19</v>
      </c>
      <c r="C10">
        <v>1000</v>
      </c>
      <c r="D10">
        <v>52</v>
      </c>
      <c r="E10">
        <v>0</v>
      </c>
      <c r="F10">
        <v>44</v>
      </c>
      <c r="G10">
        <v>68</v>
      </c>
      <c r="H10">
        <v>70</v>
      </c>
      <c r="I10">
        <v>71</v>
      </c>
      <c r="J10">
        <v>59</v>
      </c>
      <c r="K10">
        <v>54</v>
      </c>
      <c r="L10">
        <v>62</v>
      </c>
      <c r="M10">
        <v>56</v>
      </c>
      <c r="N10">
        <v>58</v>
      </c>
      <c r="O10">
        <v>59</v>
      </c>
      <c r="P10">
        <f>(L10*N10*O10)^(1/3)</f>
        <v>59.642691212493077</v>
      </c>
      <c r="Q10">
        <f>(F10*H10*K10)^(1/3)</f>
        <v>54.993938725981302</v>
      </c>
      <c r="R10" t="s">
        <v>44</v>
      </c>
      <c r="S10">
        <v>27</v>
      </c>
      <c r="T10">
        <v>71</v>
      </c>
      <c r="U10">
        <v>103</v>
      </c>
      <c r="V10">
        <v>105</v>
      </c>
      <c r="W10">
        <v>84</v>
      </c>
      <c r="X10">
        <v>101</v>
      </c>
      <c r="Y10">
        <v>0</v>
      </c>
      <c r="Z10">
        <f>(T10*U10*V10*W10*X10)^(1/5)</f>
        <v>91.78614003552201</v>
      </c>
      <c r="AA10">
        <v>10</v>
      </c>
      <c r="AB10">
        <v>11</v>
      </c>
      <c r="AC10">
        <v>8</v>
      </c>
      <c r="AD10">
        <f>(P10*Q10*Z10)^(1/3)</f>
        <v>67.021846351328719</v>
      </c>
      <c r="AE10" t="s">
        <v>64</v>
      </c>
      <c r="AF10" t="s">
        <v>72</v>
      </c>
    </row>
    <row r="11" spans="1:32" x14ac:dyDescent="0.25">
      <c r="A11">
        <v>6</v>
      </c>
      <c r="B11" t="s">
        <v>21</v>
      </c>
      <c r="C11">
        <v>1000</v>
      </c>
      <c r="D11">
        <v>68</v>
      </c>
      <c r="E11">
        <v>0</v>
      </c>
      <c r="F11">
        <v>65</v>
      </c>
      <c r="G11">
        <v>48</v>
      </c>
      <c r="H11">
        <v>45</v>
      </c>
      <c r="I11">
        <v>73</v>
      </c>
      <c r="J11">
        <v>65</v>
      </c>
      <c r="K11">
        <v>64</v>
      </c>
      <c r="L11">
        <v>73</v>
      </c>
      <c r="M11">
        <v>61</v>
      </c>
      <c r="N11">
        <v>72</v>
      </c>
      <c r="O11">
        <v>63</v>
      </c>
      <c r="P11">
        <f>(L11*N11*O11)^(1/3)</f>
        <v>69.182879701160502</v>
      </c>
      <c r="Q11">
        <f>(F11*H11*K11)^(1/3)</f>
        <v>57.205170119664565</v>
      </c>
      <c r="R11" t="s">
        <v>46</v>
      </c>
      <c r="S11">
        <v>41</v>
      </c>
      <c r="T11">
        <v>52</v>
      </c>
      <c r="U11">
        <v>113</v>
      </c>
      <c r="V11">
        <v>31</v>
      </c>
      <c r="W11">
        <v>88</v>
      </c>
      <c r="X11">
        <v>91</v>
      </c>
      <c r="Y11">
        <v>0</v>
      </c>
      <c r="Z11">
        <f>(T11*U11*V11*W11*X11)^(1/5)</f>
        <v>68.04457550548446</v>
      </c>
      <c r="AA11" s="2">
        <v>4</v>
      </c>
      <c r="AB11">
        <v>8</v>
      </c>
      <c r="AC11" s="1">
        <v>16</v>
      </c>
      <c r="AD11">
        <f>(P11*Q11*Z11)^(1/3)</f>
        <v>64.576694157456615</v>
      </c>
      <c r="AE11" t="s">
        <v>67</v>
      </c>
      <c r="AF11" t="s">
        <v>74</v>
      </c>
    </row>
    <row r="12" spans="1:32" x14ac:dyDescent="0.25">
      <c r="A12">
        <v>13</v>
      </c>
      <c r="B12" t="s">
        <v>28</v>
      </c>
      <c r="C12">
        <v>1000</v>
      </c>
      <c r="D12">
        <v>63</v>
      </c>
      <c r="E12">
        <v>0</v>
      </c>
      <c r="F12">
        <v>68</v>
      </c>
      <c r="G12">
        <v>57</v>
      </c>
      <c r="H12">
        <v>61</v>
      </c>
      <c r="I12">
        <v>48</v>
      </c>
      <c r="J12">
        <v>38</v>
      </c>
      <c r="K12">
        <v>46</v>
      </c>
      <c r="L12">
        <v>52</v>
      </c>
      <c r="M12">
        <v>36</v>
      </c>
      <c r="N12">
        <v>56</v>
      </c>
      <c r="O12">
        <v>48</v>
      </c>
      <c r="P12">
        <f>(L12*N12*O12)^(1/3)</f>
        <v>51.897232933730805</v>
      </c>
      <c r="Q12">
        <f>(F12*H12*K12)^(1/3)</f>
        <v>57.570348679045033</v>
      </c>
      <c r="R12" t="s">
        <v>53</v>
      </c>
      <c r="S12">
        <v>23</v>
      </c>
      <c r="T12">
        <v>73</v>
      </c>
      <c r="U12">
        <v>98</v>
      </c>
      <c r="V12">
        <v>82</v>
      </c>
      <c r="W12">
        <v>52</v>
      </c>
      <c r="X12">
        <v>86</v>
      </c>
      <c r="Y12">
        <v>0</v>
      </c>
      <c r="Z12">
        <f>(T12*U12*V12*W12*X12)^(1/5)</f>
        <v>76.519639730270072</v>
      </c>
      <c r="AA12" s="1">
        <v>12</v>
      </c>
      <c r="AB12">
        <v>7</v>
      </c>
      <c r="AC12" s="1">
        <v>12</v>
      </c>
      <c r="AD12">
        <f>(P12*Q12*Z12)^(1/3)</f>
        <v>61.146554878976481</v>
      </c>
      <c r="AE12" t="s">
        <v>67</v>
      </c>
      <c r="AF12" t="s">
        <v>82</v>
      </c>
    </row>
    <row r="13" spans="1:32" x14ac:dyDescent="0.25">
      <c r="A13">
        <v>5</v>
      </c>
      <c r="B13" t="s">
        <v>20</v>
      </c>
      <c r="C13">
        <v>1000</v>
      </c>
      <c r="D13">
        <v>38</v>
      </c>
      <c r="E13">
        <v>0</v>
      </c>
      <c r="F13">
        <v>41</v>
      </c>
      <c r="G13">
        <v>36</v>
      </c>
      <c r="H13">
        <v>42</v>
      </c>
      <c r="I13">
        <v>61</v>
      </c>
      <c r="J13">
        <v>73</v>
      </c>
      <c r="K13">
        <v>69</v>
      </c>
      <c r="L13">
        <v>54</v>
      </c>
      <c r="M13">
        <v>68</v>
      </c>
      <c r="N13">
        <v>63</v>
      </c>
      <c r="O13">
        <v>50</v>
      </c>
      <c r="P13">
        <f>(L13*N13*O13)^(1/3)</f>
        <v>55.407442513434958</v>
      </c>
      <c r="Q13">
        <f>(F13*H13*K13)^(1/3)</f>
        <v>49.161758902384868</v>
      </c>
      <c r="R13" t="s">
        <v>45</v>
      </c>
      <c r="S13">
        <v>20</v>
      </c>
      <c r="T13">
        <v>90</v>
      </c>
      <c r="U13">
        <v>85</v>
      </c>
      <c r="V13">
        <v>46</v>
      </c>
      <c r="W13">
        <v>109</v>
      </c>
      <c r="X13">
        <v>88</v>
      </c>
      <c r="Y13">
        <v>0</v>
      </c>
      <c r="Z13">
        <f>(T13*U13*V13*W13*X13)^(1/5)</f>
        <v>80.475871292938109</v>
      </c>
      <c r="AA13">
        <v>11</v>
      </c>
      <c r="AB13" s="1">
        <v>13</v>
      </c>
      <c r="AC13">
        <v>11</v>
      </c>
      <c r="AD13">
        <f>(P13*Q13*Z13)^(1/3)</f>
        <v>60.295800896964579</v>
      </c>
      <c r="AE13" t="s">
        <v>67</v>
      </c>
      <c r="AF13" t="s">
        <v>73</v>
      </c>
    </row>
    <row r="14" spans="1:32" x14ac:dyDescent="0.25">
      <c r="A14">
        <v>3</v>
      </c>
      <c r="B14" t="s">
        <v>18</v>
      </c>
      <c r="C14">
        <v>1000</v>
      </c>
      <c r="D14">
        <v>42</v>
      </c>
      <c r="E14">
        <v>0</v>
      </c>
      <c r="F14">
        <v>38</v>
      </c>
      <c r="G14">
        <v>58</v>
      </c>
      <c r="H14">
        <v>61</v>
      </c>
      <c r="I14">
        <v>52</v>
      </c>
      <c r="J14">
        <v>74</v>
      </c>
      <c r="K14">
        <v>72</v>
      </c>
      <c r="L14">
        <v>41</v>
      </c>
      <c r="M14">
        <v>53</v>
      </c>
      <c r="N14">
        <v>41</v>
      </c>
      <c r="O14">
        <v>38</v>
      </c>
      <c r="P14">
        <f>(L14*N14*O14)^(1/3)</f>
        <v>39.974567166034475</v>
      </c>
      <c r="Q14">
        <f>(F14*H14*K14)^(1/3)</f>
        <v>55.057350645777831</v>
      </c>
      <c r="R14" t="s">
        <v>43</v>
      </c>
      <c r="S14">
        <v>30</v>
      </c>
      <c r="T14">
        <v>83</v>
      </c>
      <c r="U14">
        <v>96</v>
      </c>
      <c r="V14">
        <v>88</v>
      </c>
      <c r="W14">
        <v>80</v>
      </c>
      <c r="X14">
        <v>65</v>
      </c>
      <c r="Y14">
        <v>0</v>
      </c>
      <c r="Z14">
        <f>(T14*U14*V14*W14*X14)^(1/5)</f>
        <v>81.727284331662204</v>
      </c>
      <c r="AA14" s="1">
        <v>15</v>
      </c>
      <c r="AB14">
        <v>10</v>
      </c>
      <c r="AC14">
        <v>10</v>
      </c>
      <c r="AD14">
        <f>(P14*Q14*Z14)^(1/3)</f>
        <v>56.448886890215348</v>
      </c>
      <c r="AE14" t="s">
        <v>67</v>
      </c>
      <c r="AF14" t="s">
        <v>71</v>
      </c>
    </row>
    <row r="15" spans="1:32" x14ac:dyDescent="0.25">
      <c r="A15">
        <v>0</v>
      </c>
      <c r="B15" t="s">
        <v>15</v>
      </c>
      <c r="C15">
        <v>0</v>
      </c>
      <c r="D15">
        <v>33</v>
      </c>
      <c r="E15">
        <v>0</v>
      </c>
      <c r="F15">
        <v>25</v>
      </c>
      <c r="G15">
        <v>44</v>
      </c>
      <c r="H15">
        <v>30</v>
      </c>
      <c r="I15">
        <v>26</v>
      </c>
      <c r="J15">
        <v>24</v>
      </c>
      <c r="K15">
        <v>38</v>
      </c>
      <c r="L15">
        <v>48</v>
      </c>
      <c r="M15">
        <v>23</v>
      </c>
      <c r="N15">
        <v>53</v>
      </c>
      <c r="O15">
        <v>51</v>
      </c>
      <c r="P15">
        <f>(L15*N15*O15)^(1/3)</f>
        <v>50.624695928672054</v>
      </c>
      <c r="Q15">
        <f>(F15*H15*K15)^(1/3)</f>
        <v>30.545573721448037</v>
      </c>
      <c r="R15" t="s">
        <v>40</v>
      </c>
      <c r="S15">
        <v>21</v>
      </c>
      <c r="T15">
        <v>95</v>
      </c>
      <c r="U15">
        <v>81</v>
      </c>
      <c r="V15">
        <v>83</v>
      </c>
      <c r="W15">
        <v>46</v>
      </c>
      <c r="X15">
        <v>70</v>
      </c>
      <c r="Y15">
        <v>0</v>
      </c>
      <c r="Z15">
        <f>(T15*U15*V15*W15*X15)^(1/5)</f>
        <v>72.883382116408441</v>
      </c>
      <c r="AA15" s="1">
        <v>13</v>
      </c>
      <c r="AB15" s="1">
        <v>16</v>
      </c>
      <c r="AC15" s="1">
        <v>13</v>
      </c>
      <c r="AD15">
        <f>(P15*Q15*Z15)^(1/3)</f>
        <v>48.30362721438221</v>
      </c>
      <c r="AE15" t="s">
        <v>68</v>
      </c>
      <c r="AF15" s="3" t="s">
        <v>81</v>
      </c>
    </row>
    <row r="16" spans="1:32" x14ac:dyDescent="0.25">
      <c r="A16">
        <v>9</v>
      </c>
      <c r="B16" t="s">
        <v>24</v>
      </c>
      <c r="C16">
        <v>1000</v>
      </c>
      <c r="D16">
        <v>42</v>
      </c>
      <c r="E16">
        <v>0</v>
      </c>
      <c r="F16">
        <v>40</v>
      </c>
      <c r="G16">
        <v>38</v>
      </c>
      <c r="H16">
        <v>36</v>
      </c>
      <c r="I16">
        <v>51</v>
      </c>
      <c r="J16">
        <v>50</v>
      </c>
      <c r="K16">
        <v>48</v>
      </c>
      <c r="L16">
        <v>38</v>
      </c>
      <c r="M16">
        <v>47</v>
      </c>
      <c r="N16">
        <v>31</v>
      </c>
      <c r="O16">
        <v>35</v>
      </c>
      <c r="P16">
        <f>(L16*N16*O16)^(1/3)</f>
        <v>34.546531066931053</v>
      </c>
      <c r="Q16">
        <f>(F16*H16*K16)^(1/3)</f>
        <v>41.039422720240729</v>
      </c>
      <c r="R16" t="s">
        <v>49</v>
      </c>
      <c r="S16">
        <v>11</v>
      </c>
      <c r="T16">
        <v>86</v>
      </c>
      <c r="U16">
        <v>52</v>
      </c>
      <c r="V16">
        <v>95</v>
      </c>
      <c r="W16">
        <v>51</v>
      </c>
      <c r="X16">
        <v>81</v>
      </c>
      <c r="Y16">
        <v>0</v>
      </c>
      <c r="Z16">
        <f>(T16*U16*V16*W16*X16)^(1/5)</f>
        <v>70.608359130094755</v>
      </c>
      <c r="AA16" s="1">
        <v>16</v>
      </c>
      <c r="AB16" s="1">
        <v>14</v>
      </c>
      <c r="AC16" s="1">
        <v>15</v>
      </c>
      <c r="AD16">
        <f>(P16*Q16*Z16)^(1/3)</f>
        <v>46.432343366746572</v>
      </c>
      <c r="AE16" t="s">
        <v>68</v>
      </c>
      <c r="AF16" t="s">
        <v>77</v>
      </c>
    </row>
    <row r="17" spans="1:32" x14ac:dyDescent="0.25">
      <c r="A17">
        <v>8</v>
      </c>
      <c r="B17" t="s">
        <v>23</v>
      </c>
      <c r="C17">
        <v>1000</v>
      </c>
      <c r="D17">
        <v>29</v>
      </c>
      <c r="E17">
        <v>0</v>
      </c>
      <c r="F17">
        <v>31</v>
      </c>
      <c r="G17">
        <v>25</v>
      </c>
      <c r="H17">
        <v>28</v>
      </c>
      <c r="I17">
        <v>21</v>
      </c>
      <c r="J17">
        <v>31</v>
      </c>
      <c r="K17">
        <v>22</v>
      </c>
      <c r="L17">
        <v>38</v>
      </c>
      <c r="M17">
        <v>21</v>
      </c>
      <c r="N17">
        <v>48</v>
      </c>
      <c r="O17">
        <v>45</v>
      </c>
      <c r="P17">
        <f>(L17*N17*O17)^(1/3)</f>
        <v>43.458938660650439</v>
      </c>
      <c r="Q17">
        <f>(F17*H17*K17)^(1/3)</f>
        <v>26.728882509474577</v>
      </c>
      <c r="R17" t="s">
        <v>48</v>
      </c>
      <c r="S17">
        <v>33</v>
      </c>
      <c r="T17">
        <v>96</v>
      </c>
      <c r="U17">
        <v>93</v>
      </c>
      <c r="V17">
        <v>77</v>
      </c>
      <c r="W17">
        <v>31</v>
      </c>
      <c r="X17">
        <v>92</v>
      </c>
      <c r="Y17">
        <v>0</v>
      </c>
      <c r="Z17">
        <f>(T17*U17*V17*W17*X17)^(1/5)</f>
        <v>72.190306479738268</v>
      </c>
      <c r="AA17" s="1">
        <v>14</v>
      </c>
      <c r="AB17" s="1">
        <v>17</v>
      </c>
      <c r="AC17" s="1">
        <v>14</v>
      </c>
      <c r="AD17">
        <f>(P17*Q17*Z17)^(1/3)</f>
        <v>43.770307852044496</v>
      </c>
      <c r="AE17" t="s">
        <v>68</v>
      </c>
      <c r="AF17" t="s">
        <v>76</v>
      </c>
    </row>
    <row r="18" spans="1:32" x14ac:dyDescent="0.25">
      <c r="A18">
        <v>11</v>
      </c>
      <c r="B18" t="s">
        <v>26</v>
      </c>
      <c r="C18">
        <v>1000</v>
      </c>
      <c r="D18">
        <v>36</v>
      </c>
      <c r="E18">
        <v>0</v>
      </c>
      <c r="F18">
        <v>38</v>
      </c>
      <c r="G18">
        <v>24</v>
      </c>
      <c r="H18">
        <v>21</v>
      </c>
      <c r="I18">
        <v>42</v>
      </c>
      <c r="J18">
        <v>46</v>
      </c>
      <c r="K18">
        <v>45</v>
      </c>
      <c r="L18">
        <v>21</v>
      </c>
      <c r="M18">
        <v>45</v>
      </c>
      <c r="N18">
        <v>26</v>
      </c>
      <c r="O18">
        <v>27</v>
      </c>
      <c r="P18">
        <f>(L18*N18*O18)^(1/3)</f>
        <v>24.519906076689331</v>
      </c>
      <c r="Q18">
        <f>(F18*H18*K18)^(1/3)</f>
        <v>32.991733466587988</v>
      </c>
      <c r="R18" t="s">
        <v>51</v>
      </c>
      <c r="S18">
        <v>39</v>
      </c>
      <c r="T18">
        <v>90</v>
      </c>
      <c r="U18">
        <v>36</v>
      </c>
      <c r="V18">
        <v>52</v>
      </c>
      <c r="W18">
        <v>60</v>
      </c>
      <c r="X18">
        <v>81</v>
      </c>
      <c r="Y18">
        <v>0</v>
      </c>
      <c r="Z18">
        <f>(T18*U18*V18*W18*X18)^(1/5)</f>
        <v>60.622930273266903</v>
      </c>
      <c r="AA18" s="1">
        <v>17</v>
      </c>
      <c r="AB18" s="1">
        <v>15</v>
      </c>
      <c r="AC18" s="1">
        <v>17</v>
      </c>
      <c r="AD18">
        <f>(P18*Q18*Z18)^(1/3)</f>
        <v>36.60330387601212</v>
      </c>
      <c r="AE18" t="s">
        <v>68</v>
      </c>
      <c r="AF18" t="s">
        <v>79</v>
      </c>
    </row>
  </sheetData>
  <sortState xmlns:xlrd2="http://schemas.microsoft.com/office/spreadsheetml/2017/richdata2" ref="A2:AF18">
    <sortCondition descending="1" ref="AD2:AD1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17fief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 Isaacson</cp:lastModifiedBy>
  <dcterms:created xsi:type="dcterms:W3CDTF">2026-05-19T21:44:26Z</dcterms:created>
  <dcterms:modified xsi:type="dcterms:W3CDTF">2026-05-19T21:44:26Z</dcterms:modified>
</cp:coreProperties>
</file>