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Isaacson\Vault\projects\game-annotation\nobunaga\"/>
    </mc:Choice>
  </mc:AlternateContent>
  <xr:revisionPtr revIDLastSave="0" documentId="13_ncr:1_{0A5D043F-3137-4434-AF69-1BD0EAD9385B}" xr6:coauthVersionLast="47" xr6:coauthVersionMax="47" xr10:uidLastSave="{00000000-0000-0000-0000-000000000000}"/>
  <bookViews>
    <workbookView xWindow="28680" yWindow="-255" windowWidth="29040" windowHeight="17520" xr2:uid="{1993C710-027D-4F86-A27A-587E55370941}"/>
  </bookViews>
  <sheets>
    <sheet name="50Fief" sheetId="1" r:id="rId1"/>
  </sheets>
  <definedNames>
    <definedName name="_xlnm._FilterDatabase" localSheetId="0" hidden="1">'50Fief'!$A$1:$AL$51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1" i="1" l="1"/>
  <c r="AH51" i="1"/>
  <c r="AJ50" i="1"/>
  <c r="AH50" i="1"/>
  <c r="AI50" i="1" s="1"/>
  <c r="AJ49" i="1"/>
  <c r="AH49" i="1"/>
  <c r="AI49" i="1" s="1"/>
  <c r="AJ48" i="1"/>
  <c r="AH48" i="1"/>
  <c r="AI48" i="1" s="1"/>
  <c r="AJ47" i="1"/>
  <c r="AH47" i="1"/>
  <c r="AJ46" i="1"/>
  <c r="AH46" i="1"/>
  <c r="AI46" i="1" s="1"/>
  <c r="AJ45" i="1"/>
  <c r="AH45" i="1"/>
  <c r="AI45" i="1" s="1"/>
  <c r="AJ44" i="1"/>
  <c r="AH44" i="1"/>
  <c r="AJ43" i="1"/>
  <c r="AH43" i="1"/>
  <c r="AJ42" i="1"/>
  <c r="AH42" i="1"/>
  <c r="AI42" i="1" s="1"/>
  <c r="AJ41" i="1"/>
  <c r="AH41" i="1"/>
  <c r="AI41" i="1" s="1"/>
  <c r="AJ40" i="1"/>
  <c r="AH40" i="1"/>
  <c r="AJ39" i="1"/>
  <c r="AH39" i="1"/>
  <c r="AJ38" i="1"/>
  <c r="AH38" i="1"/>
  <c r="AI38" i="1" s="1"/>
  <c r="AJ37" i="1"/>
  <c r="AH37" i="1"/>
  <c r="AJ36" i="1"/>
  <c r="AH36" i="1"/>
  <c r="AJ35" i="1"/>
  <c r="AH35" i="1"/>
  <c r="AJ34" i="1"/>
  <c r="AH34" i="1"/>
  <c r="AI34" i="1" s="1"/>
  <c r="AJ33" i="1"/>
  <c r="AH33" i="1"/>
  <c r="AJ32" i="1"/>
  <c r="AH32" i="1"/>
  <c r="AI32" i="1" s="1"/>
  <c r="AJ31" i="1"/>
  <c r="AH31" i="1"/>
  <c r="AJ30" i="1"/>
  <c r="AH30" i="1"/>
  <c r="AI30" i="1" s="1"/>
  <c r="AJ29" i="1"/>
  <c r="AH29" i="1"/>
  <c r="AI29" i="1" s="1"/>
  <c r="AJ28" i="1"/>
  <c r="AH28" i="1"/>
  <c r="AJ27" i="1"/>
  <c r="AH27" i="1"/>
  <c r="AJ26" i="1"/>
  <c r="AH26" i="1"/>
  <c r="AI26" i="1" s="1"/>
  <c r="AJ25" i="1"/>
  <c r="AH25" i="1"/>
  <c r="AJ24" i="1"/>
  <c r="AH24" i="1"/>
  <c r="AJ23" i="1"/>
  <c r="AH23" i="1"/>
  <c r="AJ22" i="1"/>
  <c r="AH22" i="1"/>
  <c r="AI22" i="1" s="1"/>
  <c r="AJ21" i="1"/>
  <c r="AH21" i="1"/>
  <c r="AI21" i="1" s="1"/>
  <c r="AJ20" i="1"/>
  <c r="AH20" i="1"/>
  <c r="AI20" i="1" s="1"/>
  <c r="AJ19" i="1"/>
  <c r="AH19" i="1"/>
  <c r="AJ18" i="1"/>
  <c r="AH18" i="1"/>
  <c r="AI18" i="1" s="1"/>
  <c r="AJ17" i="1"/>
  <c r="AH17" i="1"/>
  <c r="AJ16" i="1"/>
  <c r="AH16" i="1"/>
  <c r="AJ15" i="1"/>
  <c r="AH15" i="1"/>
  <c r="AJ14" i="1"/>
  <c r="AH14" i="1"/>
  <c r="AI14" i="1" s="1"/>
  <c r="AJ13" i="1"/>
  <c r="AH13" i="1"/>
  <c r="AI13" i="1" s="1"/>
  <c r="AJ12" i="1"/>
  <c r="AH12" i="1"/>
  <c r="AJ11" i="1"/>
  <c r="AH11" i="1"/>
  <c r="AJ10" i="1"/>
  <c r="AH10" i="1"/>
  <c r="AI10" i="1" s="1"/>
  <c r="AJ9" i="1"/>
  <c r="AH9" i="1"/>
  <c r="AI9" i="1" s="1"/>
  <c r="AJ8" i="1"/>
  <c r="AH8" i="1"/>
  <c r="AI8" i="1" s="1"/>
  <c r="AJ7" i="1"/>
  <c r="AH7" i="1"/>
  <c r="AJ6" i="1"/>
  <c r="AH6" i="1"/>
  <c r="AI6" i="1" s="1"/>
  <c r="AJ5" i="1"/>
  <c r="AH5" i="1"/>
  <c r="AJ3" i="1"/>
  <c r="AH3" i="1"/>
  <c r="AI3" i="1" s="1"/>
  <c r="AJ2" i="1"/>
  <c r="AH2" i="1"/>
  <c r="AJ4" i="1"/>
  <c r="AH4" i="1"/>
  <c r="AI4" i="1" s="1"/>
  <c r="AK4" i="1" l="1"/>
  <c r="AL4" i="1" s="1"/>
  <c r="AK40" i="1"/>
  <c r="AL40" i="1" s="1"/>
  <c r="AK17" i="1"/>
  <c r="AL17" i="1" s="1"/>
  <c r="AK12" i="1"/>
  <c r="AL12" i="1" s="1"/>
  <c r="AK32" i="1"/>
  <c r="AL32" i="1" s="1"/>
  <c r="AK33" i="1"/>
  <c r="AL33" i="1" s="1"/>
  <c r="AK3" i="1"/>
  <c r="AL3" i="1" s="1"/>
  <c r="AK22" i="1"/>
  <c r="AL22" i="1" s="1"/>
  <c r="AK42" i="1"/>
  <c r="AL42" i="1" s="1"/>
  <c r="AK2" i="1"/>
  <c r="AL2" i="1" s="1"/>
  <c r="AK13" i="1"/>
  <c r="AL13" i="1" s="1"/>
  <c r="AK23" i="1"/>
  <c r="AL23" i="1" s="1"/>
  <c r="AK43" i="1"/>
  <c r="AL43" i="1" s="1"/>
  <c r="AK14" i="1"/>
  <c r="AL14" i="1" s="1"/>
  <c r="AK24" i="1"/>
  <c r="AL24" i="1" s="1"/>
  <c r="AK34" i="1"/>
  <c r="AL34" i="1" s="1"/>
  <c r="AK44" i="1"/>
  <c r="AL44" i="1" s="1"/>
  <c r="AK5" i="1"/>
  <c r="AL5" i="1" s="1"/>
  <c r="AK15" i="1"/>
  <c r="AL15" i="1" s="1"/>
  <c r="AK25" i="1"/>
  <c r="AL25" i="1" s="1"/>
  <c r="AK35" i="1"/>
  <c r="AL35" i="1" s="1"/>
  <c r="AK45" i="1"/>
  <c r="AL45" i="1" s="1"/>
  <c r="AK6" i="1"/>
  <c r="AL6" i="1" s="1"/>
  <c r="AK16" i="1"/>
  <c r="AL16" i="1" s="1"/>
  <c r="AK26" i="1"/>
  <c r="AL26" i="1" s="1"/>
  <c r="AK46" i="1"/>
  <c r="AL46" i="1" s="1"/>
  <c r="AK7" i="1"/>
  <c r="AL7" i="1" s="1"/>
  <c r="AK27" i="1"/>
  <c r="AL27" i="1" s="1"/>
  <c r="AK37" i="1"/>
  <c r="AL37" i="1" s="1"/>
  <c r="AK47" i="1"/>
  <c r="AL47" i="1" s="1"/>
  <c r="AK8" i="1"/>
  <c r="AL8" i="1" s="1"/>
  <c r="AK18" i="1"/>
  <c r="AL18" i="1" s="1"/>
  <c r="AK28" i="1"/>
  <c r="AL28" i="1" s="1"/>
  <c r="AK38" i="1"/>
  <c r="AL38" i="1" s="1"/>
  <c r="AK48" i="1"/>
  <c r="AL48" i="1" s="1"/>
  <c r="AK9" i="1"/>
  <c r="AL9" i="1" s="1"/>
  <c r="AK19" i="1"/>
  <c r="AL19" i="1" s="1"/>
  <c r="AK29" i="1"/>
  <c r="AL29" i="1" s="1"/>
  <c r="AK39" i="1"/>
  <c r="AL39" i="1" s="1"/>
  <c r="AK49" i="1"/>
  <c r="AL49" i="1" s="1"/>
  <c r="AK10" i="1"/>
  <c r="AL10" i="1" s="1"/>
  <c r="AK20" i="1"/>
  <c r="AL20" i="1" s="1"/>
  <c r="AK30" i="1"/>
  <c r="AL30" i="1" s="1"/>
  <c r="AK50" i="1"/>
  <c r="AL50" i="1" s="1"/>
  <c r="AK11" i="1"/>
  <c r="AL11" i="1" s="1"/>
  <c r="AK21" i="1"/>
  <c r="AL21" i="1" s="1"/>
  <c r="AK31" i="1"/>
  <c r="AL31" i="1" s="1"/>
  <c r="AK41" i="1"/>
  <c r="AL41" i="1" s="1"/>
  <c r="AK51" i="1"/>
  <c r="AL51" i="1" s="1"/>
  <c r="AK36" i="1"/>
  <c r="AL36" i="1" s="1"/>
  <c r="AI12" i="1"/>
  <c r="AI28" i="1"/>
  <c r="AI44" i="1"/>
  <c r="AI5" i="1"/>
  <c r="AI17" i="1"/>
  <c r="AI25" i="1"/>
  <c r="AI37" i="1"/>
  <c r="AI16" i="1"/>
  <c r="AI24" i="1"/>
  <c r="AI36" i="1"/>
  <c r="AI40" i="1"/>
  <c r="AI33" i="1"/>
  <c r="AI2" i="1"/>
  <c r="AI7" i="1"/>
  <c r="AI11" i="1"/>
  <c r="AI15" i="1"/>
  <c r="AI19" i="1"/>
  <c r="AI23" i="1"/>
  <c r="AI27" i="1"/>
  <c r="AI31" i="1"/>
  <c r="AI35" i="1"/>
  <c r="AI39" i="1"/>
  <c r="AI43" i="1"/>
  <c r="AI47" i="1"/>
  <c r="AI51" i="1"/>
  <c r="Z15" i="1"/>
  <c r="Z46" i="1"/>
  <c r="Z35" i="1"/>
  <c r="Z23" i="1"/>
  <c r="Z4" i="1"/>
  <c r="Z29" i="1"/>
  <c r="Z41" i="1"/>
  <c r="Z7" i="1"/>
  <c r="Z37" i="1"/>
  <c r="Z30" i="1"/>
  <c r="Z20" i="1"/>
  <c r="Z5" i="1"/>
  <c r="Z42" i="1"/>
  <c r="Z19" i="1"/>
  <c r="Z47" i="1"/>
  <c r="Z40" i="1"/>
  <c r="Z28" i="1"/>
  <c r="Z10" i="1"/>
  <c r="Z32" i="1"/>
  <c r="Z16" i="1"/>
  <c r="Z51" i="1"/>
  <c r="Z36" i="1"/>
  <c r="Z48" i="1"/>
  <c r="Z12" i="1"/>
  <c r="Z11" i="1"/>
  <c r="Z2" i="1"/>
  <c r="Z3" i="1"/>
  <c r="Z39" i="1"/>
  <c r="Z13" i="1"/>
  <c r="Z22" i="1"/>
  <c r="Z14" i="1"/>
  <c r="Z33" i="1"/>
  <c r="Z17" i="1"/>
  <c r="Z38" i="1"/>
  <c r="Z31" i="1"/>
  <c r="Z9" i="1"/>
  <c r="Z6" i="1"/>
  <c r="Z26" i="1"/>
  <c r="Z50" i="1"/>
  <c r="Z21" i="1"/>
  <c r="Z8" i="1"/>
  <c r="Z27" i="1"/>
  <c r="Z44" i="1"/>
  <c r="Z24" i="1"/>
  <c r="Z18" i="1"/>
  <c r="Z25" i="1"/>
  <c r="Z34" i="1"/>
  <c r="Z43" i="1"/>
  <c r="AD43" i="1" s="1"/>
  <c r="Z45" i="1"/>
  <c r="Q15" i="1"/>
  <c r="P15" i="1"/>
  <c r="Q46" i="1"/>
  <c r="P46" i="1"/>
  <c r="Q35" i="1"/>
  <c r="P35" i="1"/>
  <c r="Q23" i="1"/>
  <c r="P23" i="1"/>
  <c r="Q4" i="1"/>
  <c r="P4" i="1"/>
  <c r="Q29" i="1"/>
  <c r="P29" i="1"/>
  <c r="Q41" i="1"/>
  <c r="P41" i="1"/>
  <c r="Q7" i="1"/>
  <c r="P7" i="1"/>
  <c r="Q37" i="1"/>
  <c r="P37" i="1"/>
  <c r="Q30" i="1"/>
  <c r="P30" i="1"/>
  <c r="Q20" i="1"/>
  <c r="P20" i="1"/>
  <c r="Q5" i="1"/>
  <c r="P5" i="1"/>
  <c r="Q42" i="1"/>
  <c r="P42" i="1"/>
  <c r="Q19" i="1"/>
  <c r="P19" i="1"/>
  <c r="Q47" i="1"/>
  <c r="P47" i="1"/>
  <c r="Q40" i="1"/>
  <c r="P40" i="1"/>
  <c r="Q28" i="1"/>
  <c r="P28" i="1"/>
  <c r="Q10" i="1"/>
  <c r="P10" i="1"/>
  <c r="Q32" i="1"/>
  <c r="P32" i="1"/>
  <c r="Q16" i="1"/>
  <c r="P16" i="1"/>
  <c r="Q51" i="1"/>
  <c r="P51" i="1"/>
  <c r="Q36" i="1"/>
  <c r="P36" i="1"/>
  <c r="Q48" i="1"/>
  <c r="P48" i="1"/>
  <c r="Q12" i="1"/>
  <c r="P12" i="1"/>
  <c r="Q11" i="1"/>
  <c r="P11" i="1"/>
  <c r="Q2" i="1"/>
  <c r="P2" i="1"/>
  <c r="Q3" i="1"/>
  <c r="P3" i="1"/>
  <c r="Q39" i="1"/>
  <c r="P39" i="1"/>
  <c r="Q13" i="1"/>
  <c r="P13" i="1"/>
  <c r="Q22" i="1"/>
  <c r="P22" i="1"/>
  <c r="Q14" i="1"/>
  <c r="P14" i="1"/>
  <c r="Q33" i="1"/>
  <c r="P33" i="1"/>
  <c r="Q17" i="1"/>
  <c r="P17" i="1"/>
  <c r="Q38" i="1"/>
  <c r="P38" i="1"/>
  <c r="Q31" i="1"/>
  <c r="P31" i="1"/>
  <c r="Q9" i="1"/>
  <c r="P9" i="1"/>
  <c r="Q6" i="1"/>
  <c r="P6" i="1"/>
  <c r="Q26" i="1"/>
  <c r="P26" i="1"/>
  <c r="Q50" i="1"/>
  <c r="P50" i="1"/>
  <c r="Q21" i="1"/>
  <c r="P21" i="1"/>
  <c r="Q8" i="1"/>
  <c r="P8" i="1"/>
  <c r="Q27" i="1"/>
  <c r="P27" i="1"/>
  <c r="Q44" i="1"/>
  <c r="P44" i="1"/>
  <c r="Q24" i="1"/>
  <c r="P24" i="1"/>
  <c r="Q18" i="1"/>
  <c r="P18" i="1"/>
  <c r="Q25" i="1"/>
  <c r="P25" i="1"/>
  <c r="Q34" i="1"/>
  <c r="P34" i="1"/>
  <c r="Q43" i="1"/>
  <c r="P43" i="1"/>
  <c r="Q45" i="1"/>
  <c r="P45" i="1"/>
  <c r="Z49" i="1"/>
  <c r="P49" i="1"/>
  <c r="Q49" i="1"/>
  <c r="AD37" i="1" l="1"/>
  <c r="AD28" i="1"/>
  <c r="AD45" i="1"/>
  <c r="AD10" i="1"/>
  <c r="AD34" i="1"/>
  <c r="AD3" i="1"/>
  <c r="AD24" i="1"/>
  <c r="AD25" i="1"/>
  <c r="AD4" i="1"/>
  <c r="AD12" i="1"/>
  <c r="AD9" i="1"/>
  <c r="AD40" i="1"/>
  <c r="AD31" i="1"/>
  <c r="AD47" i="1"/>
  <c r="AD38" i="1"/>
  <c r="AD19" i="1"/>
  <c r="AD49" i="1"/>
  <c r="AD2" i="1"/>
  <c r="AD26" i="1"/>
  <c r="AD18" i="1"/>
  <c r="AD11" i="1"/>
  <c r="AD23" i="1"/>
  <c r="AD7" i="1"/>
  <c r="AD42" i="1"/>
  <c r="AD17" i="1"/>
  <c r="AD33" i="1"/>
  <c r="AD14" i="1"/>
  <c r="AD22" i="1"/>
  <c r="AD5" i="1"/>
  <c r="AD13" i="1"/>
  <c r="AD20" i="1"/>
  <c r="AD39" i="1"/>
  <c r="AD30" i="1"/>
  <c r="AD44" i="1"/>
  <c r="AD41" i="1"/>
  <c r="AD27" i="1"/>
  <c r="AD29" i="1"/>
  <c r="AD8" i="1"/>
  <c r="AD21" i="1"/>
  <c r="AD48" i="1"/>
  <c r="AD50" i="1"/>
  <c r="AD36" i="1"/>
  <c r="AD51" i="1"/>
  <c r="AD35" i="1"/>
  <c r="AD16" i="1"/>
  <c r="AD46" i="1"/>
  <c r="AD6" i="1"/>
  <c r="AD32" i="1"/>
  <c r="AD15" i="1"/>
</calcChain>
</file>

<file path=xl/sharedStrings.xml><?xml version="1.0" encoding="utf-8"?>
<sst xmlns="http://schemas.openxmlformats.org/spreadsheetml/2006/main" count="230" uniqueCount="172">
  <si>
    <t>idx</t>
  </si>
  <si>
    <t>name</t>
  </si>
  <si>
    <t>header</t>
  </si>
  <si>
    <t>gold</t>
  </si>
  <si>
    <t>debt</t>
  </si>
  <si>
    <t>town</t>
  </si>
  <si>
    <t>rice</t>
  </si>
  <si>
    <t>output</t>
  </si>
  <si>
    <t>dams</t>
  </si>
  <si>
    <t>loyalty</t>
  </si>
  <si>
    <t>wealth</t>
  </si>
  <si>
    <t>men</t>
  </si>
  <si>
    <t>morale</t>
  </si>
  <si>
    <t>skill</t>
  </si>
  <si>
    <t>arms</t>
  </si>
  <si>
    <t>Ezo</t>
  </si>
  <si>
    <t>Mutsu</t>
  </si>
  <si>
    <t>Morioka</t>
  </si>
  <si>
    <t>Iwasaki</t>
  </si>
  <si>
    <t>Ugo</t>
  </si>
  <si>
    <t>Rikuzen</t>
  </si>
  <si>
    <t>Uzen</t>
  </si>
  <si>
    <t>Iwaki</t>
  </si>
  <si>
    <t>Iwashiro</t>
  </si>
  <si>
    <t>Echigo</t>
  </si>
  <si>
    <t>Hitachi</t>
  </si>
  <si>
    <t>Shimotsu</t>
  </si>
  <si>
    <t>Awa</t>
  </si>
  <si>
    <t>Musashi</t>
  </si>
  <si>
    <t>Shinano</t>
  </si>
  <si>
    <t>Noto</t>
  </si>
  <si>
    <t>Ecchu</t>
  </si>
  <si>
    <t>Hida</t>
  </si>
  <si>
    <t>Kiso</t>
  </si>
  <si>
    <t>Suruga</t>
  </si>
  <si>
    <t>Kaga</t>
  </si>
  <si>
    <t>Echizen</t>
  </si>
  <si>
    <t>Mino</t>
  </si>
  <si>
    <t>Mikawa</t>
  </si>
  <si>
    <t>Owari</t>
  </si>
  <si>
    <t>Iseshima</t>
  </si>
  <si>
    <t>Omi</t>
  </si>
  <si>
    <t>Iga</t>
  </si>
  <si>
    <t>Tango</t>
  </si>
  <si>
    <t>Tanba</t>
  </si>
  <si>
    <t>Yamashir</t>
  </si>
  <si>
    <t>Yamato</t>
  </si>
  <si>
    <t>Settsu</t>
  </si>
  <si>
    <t>Kii</t>
  </si>
  <si>
    <t>Inaba</t>
  </si>
  <si>
    <t>Harima</t>
  </si>
  <si>
    <t>Izumo</t>
  </si>
  <si>
    <t>Sanbi</t>
  </si>
  <si>
    <t>Aki</t>
  </si>
  <si>
    <t>Sanuki</t>
  </si>
  <si>
    <t>Iyo</t>
  </si>
  <si>
    <t>Tosa</t>
  </si>
  <si>
    <t>Nakamura</t>
  </si>
  <si>
    <t>Buzen</t>
  </si>
  <si>
    <t>Chikuhi</t>
  </si>
  <si>
    <t>Bungo</t>
  </si>
  <si>
    <t>Higo</t>
  </si>
  <si>
    <t>Hiyuga</t>
  </si>
  <si>
    <t>Satuma</t>
  </si>
  <si>
    <t>clan</t>
  </si>
  <si>
    <t>age</t>
  </si>
  <si>
    <t>health</t>
  </si>
  <si>
    <t>drive</t>
  </si>
  <si>
    <t>luck</t>
  </si>
  <si>
    <t>charisma</t>
  </si>
  <si>
    <t>iq</t>
  </si>
  <si>
    <t>status</t>
  </si>
  <si>
    <t>Kakizaki</t>
  </si>
  <si>
    <t>Tsugaru</t>
  </si>
  <si>
    <t>Nanbu</t>
  </si>
  <si>
    <t>Kasai</t>
  </si>
  <si>
    <t>Akita</t>
  </si>
  <si>
    <t>Date</t>
  </si>
  <si>
    <t>Mogami</t>
  </si>
  <si>
    <t>Yuki</t>
  </si>
  <si>
    <t>Ashina</t>
  </si>
  <si>
    <t>Uesugi</t>
  </si>
  <si>
    <t>Satake</t>
  </si>
  <si>
    <t>Utsunomi</t>
  </si>
  <si>
    <t>Satomi</t>
  </si>
  <si>
    <t>Hojo</t>
  </si>
  <si>
    <t>Takeda</t>
  </si>
  <si>
    <t>Hatakeya</t>
  </si>
  <si>
    <t>Jinbo</t>
  </si>
  <si>
    <t>Anekoji</t>
  </si>
  <si>
    <t>Imagawa</t>
  </si>
  <si>
    <t>Honganji</t>
  </si>
  <si>
    <t>Asakura</t>
  </si>
  <si>
    <t>Saito</t>
  </si>
  <si>
    <t>Tokugawa</t>
  </si>
  <si>
    <t>Oda</t>
  </si>
  <si>
    <t>Kitabata</t>
  </si>
  <si>
    <t>Asai</t>
  </si>
  <si>
    <t>Rokkaku</t>
  </si>
  <si>
    <t>Isshiki</t>
  </si>
  <si>
    <t>Hatano</t>
  </si>
  <si>
    <t>Ashikaga</t>
  </si>
  <si>
    <t>Tsutsui</t>
  </si>
  <si>
    <t>Miyoshi</t>
  </si>
  <si>
    <t>Horiuchi</t>
  </si>
  <si>
    <t>Yamana</t>
  </si>
  <si>
    <t>Bessho</t>
  </si>
  <si>
    <t>Amako</t>
  </si>
  <si>
    <t>Ukita</t>
  </si>
  <si>
    <t>Mori</t>
  </si>
  <si>
    <t>Sogo</t>
  </si>
  <si>
    <t>Hosokawa</t>
  </si>
  <si>
    <t>Kono</t>
  </si>
  <si>
    <t>Chosokab</t>
  </si>
  <si>
    <t>Ichijo</t>
  </si>
  <si>
    <t>Kinoi</t>
  </si>
  <si>
    <t>Ruzoji</t>
  </si>
  <si>
    <t>Otomo</t>
  </si>
  <si>
    <t>Aso</t>
  </si>
  <si>
    <t>Ito</t>
  </si>
  <si>
    <t>Shimazu</t>
  </si>
  <si>
    <t>Mil</t>
  </si>
  <si>
    <t>pow</t>
  </si>
  <si>
    <t>RM</t>
  </si>
  <si>
    <t>RT</t>
  </si>
  <si>
    <t>RP</t>
  </si>
  <si>
    <t>BV</t>
  </si>
  <si>
    <t>Tier</t>
  </si>
  <si>
    <t>S</t>
  </si>
  <si>
    <t>B</t>
  </si>
  <si>
    <t>A</t>
  </si>
  <si>
    <t>D</t>
  </si>
  <si>
    <t>C</t>
  </si>
  <si>
    <t>F</t>
  </si>
  <si>
    <t>Large Army</t>
  </si>
  <si>
    <t>Best A</t>
  </si>
  <si>
    <t>Best T</t>
  </si>
  <si>
    <t>Army</t>
  </si>
  <si>
    <t>Strong</t>
  </si>
  <si>
    <t>Town</t>
  </si>
  <si>
    <t>stats</t>
  </si>
  <si>
    <t>good econ</t>
  </si>
  <si>
    <t>balanced</t>
  </si>
  <si>
    <t>leader</t>
  </si>
  <si>
    <t>bad leader roll</t>
  </si>
  <si>
    <t>army</t>
  </si>
  <si>
    <t>town!</t>
  </si>
  <si>
    <t xml:space="preserve">same </t>
  </si>
  <si>
    <t>3rd</t>
  </si>
  <si>
    <t>4th</t>
  </si>
  <si>
    <t>7th</t>
  </si>
  <si>
    <t>6th</t>
  </si>
  <si>
    <t>5th</t>
  </si>
  <si>
    <t>8th</t>
  </si>
  <si>
    <t>9th</t>
  </si>
  <si>
    <t>10th</t>
  </si>
  <si>
    <t>11th</t>
  </si>
  <si>
    <t>12th</t>
  </si>
  <si>
    <t>17th</t>
  </si>
  <si>
    <t>13th</t>
  </si>
  <si>
    <t>14th</t>
  </si>
  <si>
    <t>army!</t>
  </si>
  <si>
    <t>leader!</t>
  </si>
  <si>
    <t>15th</t>
  </si>
  <si>
    <t>16th</t>
  </si>
  <si>
    <t>55taxL</t>
  </si>
  <si>
    <t>%R</t>
  </si>
  <si>
    <t>FreeR</t>
  </si>
  <si>
    <t>Give</t>
  </si>
  <si>
    <t>FinalL</t>
  </si>
  <si>
    <t>Notes</t>
  </si>
  <si>
    <t>f17R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</si>
</sst>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4" fillId="0" borderId="0" xfId="0" applyFont="1"/>
    <xf numFmtId="10" fontId="0" fillId="0" borderId="0" xfId="0" applyNumberFormat="1"/>
    <xf numFmtId="10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501B-F4E9-40F5-BCE6-EA7716C70CE7}">
  <dimension ref="A1:AL51"/>
  <sheetViews>
    <sheetView tabSelected="1" topLeftCell="A16" workbookViewId="0">
      <selection activeCell="A47" activeCellId="8" sqref="AA36:AB37 AA39:AB40 AA41:AB41 AA44:AB44 AA47:AB47 A36:XFD37 A39:XFD41 A44:XFD44 A47:XFD47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7.140625" bestFit="1" customWidth="1"/>
    <col min="4" max="5" width="4.85546875" bestFit="1" customWidth="1"/>
    <col min="6" max="6" width="5.28515625" bestFit="1" customWidth="1"/>
    <col min="7" max="7" width="4.28515625" bestFit="1" customWidth="1"/>
    <col min="8" max="8" width="6.7109375" bestFit="1" customWidth="1"/>
    <col min="9" max="9" width="6" bestFit="1" customWidth="1"/>
    <col min="10" max="10" width="6.7109375" bestFit="1" customWidth="1"/>
    <col min="11" max="11" width="6.85546875" bestFit="1" customWidth="1"/>
    <col min="12" max="12" width="4.85546875" bestFit="1" customWidth="1"/>
    <col min="13" max="13" width="7.28515625" bestFit="1" customWidth="1"/>
    <col min="14" max="14" width="4.7109375" bestFit="1" customWidth="1"/>
    <col min="15" max="15" width="5.5703125" bestFit="1" customWidth="1"/>
    <col min="16" max="16" width="6.7109375" customWidth="1"/>
    <col min="17" max="17" width="6.28515625" customWidth="1"/>
    <col min="18" max="18" width="10.28515625" bestFit="1" customWidth="1"/>
    <col min="19" max="19" width="4.140625" bestFit="1" customWidth="1"/>
    <col min="20" max="20" width="6.5703125" bestFit="1" customWidth="1"/>
    <col min="21" max="21" width="5.28515625" bestFit="1" customWidth="1"/>
    <col min="22" max="22" width="4.7109375" bestFit="1" customWidth="1"/>
    <col min="23" max="23" width="5" customWidth="1"/>
    <col min="24" max="24" width="4" bestFit="1" customWidth="1"/>
    <col min="25" max="25" width="6.42578125" bestFit="1" customWidth="1"/>
    <col min="26" max="26" width="6.28515625" customWidth="1"/>
    <col min="27" max="27" width="3.7109375" bestFit="1" customWidth="1"/>
    <col min="28" max="28" width="3.140625" bestFit="1" customWidth="1"/>
    <col min="29" max="29" width="3.28515625" bestFit="1" customWidth="1"/>
    <col min="30" max="30" width="6.7109375" customWidth="1"/>
    <col min="31" max="31" width="4.28515625" bestFit="1" customWidth="1"/>
    <col min="32" max="32" width="14" bestFit="1" customWidth="1"/>
    <col min="35" max="35" width="10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121</v>
      </c>
      <c r="Q1" t="s">
        <v>5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170</v>
      </c>
      <c r="AG1" t="s">
        <v>171</v>
      </c>
      <c r="AH1" t="s">
        <v>165</v>
      </c>
      <c r="AI1" t="s">
        <v>166</v>
      </c>
      <c r="AJ1" t="s">
        <v>167</v>
      </c>
      <c r="AK1" t="s">
        <v>168</v>
      </c>
      <c r="AL1" t="s">
        <v>169</v>
      </c>
    </row>
    <row r="2" spans="1:38" x14ac:dyDescent="0.25">
      <c r="A2">
        <v>24</v>
      </c>
      <c r="B2" t="s">
        <v>39</v>
      </c>
      <c r="C2">
        <v>1000</v>
      </c>
      <c r="D2">
        <v>62</v>
      </c>
      <c r="E2">
        <v>0</v>
      </c>
      <c r="F2">
        <v>58</v>
      </c>
      <c r="G2">
        <v>80</v>
      </c>
      <c r="H2">
        <v>80</v>
      </c>
      <c r="I2">
        <v>80</v>
      </c>
      <c r="J2">
        <v>71</v>
      </c>
      <c r="K2">
        <v>72</v>
      </c>
      <c r="L2">
        <v>78</v>
      </c>
      <c r="M2">
        <v>77</v>
      </c>
      <c r="N2">
        <v>78</v>
      </c>
      <c r="O2">
        <v>80</v>
      </c>
      <c r="P2">
        <f>(L2*N2*O2)^(1/3)</f>
        <v>78.661048467230643</v>
      </c>
      <c r="Q2">
        <f>(F2*H2*K2)^(1/3)</f>
        <v>69.38785980258659</v>
      </c>
      <c r="R2" t="s">
        <v>95</v>
      </c>
      <c r="S2">
        <v>26</v>
      </c>
      <c r="T2">
        <v>102</v>
      </c>
      <c r="U2">
        <v>115</v>
      </c>
      <c r="V2">
        <v>111</v>
      </c>
      <c r="W2">
        <v>106</v>
      </c>
      <c r="X2">
        <v>108</v>
      </c>
      <c r="Y2">
        <v>0</v>
      </c>
      <c r="Z2">
        <f>(T2*U2*V2*W2*X2)^(1/5)</f>
        <v>108.3103906739629</v>
      </c>
      <c r="AA2" s="1">
        <v>1</v>
      </c>
      <c r="AB2" s="1">
        <v>2</v>
      </c>
      <c r="AC2" s="1">
        <v>2</v>
      </c>
      <c r="AD2">
        <f>(P2*Q2*Z2)^(1/3)</f>
        <v>83.92753126291089</v>
      </c>
      <c r="AE2" t="s">
        <v>128</v>
      </c>
      <c r="AF2" t="s">
        <v>135</v>
      </c>
      <c r="AG2" t="s">
        <v>147</v>
      </c>
      <c r="AH2">
        <f>0.65*J2</f>
        <v>46.15</v>
      </c>
      <c r="AI2" s="4">
        <f>1-(AH2^2/2025)</f>
        <v>-5.1764197530864031E-2</v>
      </c>
      <c r="AJ2">
        <f>G2-(2/3*L2)</f>
        <v>28</v>
      </c>
      <c r="AK2">
        <f>2*((5*AJ2)/(SQRT(((H2+AH2)/2)+AJ2)))</f>
        <v>29.339887305484748</v>
      </c>
      <c r="AL2">
        <f>AH2+AK2</f>
        <v>75.489887305484743</v>
      </c>
    </row>
    <row r="3" spans="1:38" x14ac:dyDescent="0.25">
      <c r="A3">
        <v>23</v>
      </c>
      <c r="B3" t="s">
        <v>38</v>
      </c>
      <c r="C3">
        <v>800</v>
      </c>
      <c r="D3">
        <v>69</v>
      </c>
      <c r="E3">
        <v>0</v>
      </c>
      <c r="F3">
        <v>66</v>
      </c>
      <c r="G3">
        <v>75</v>
      </c>
      <c r="H3">
        <v>80</v>
      </c>
      <c r="I3">
        <v>80</v>
      </c>
      <c r="J3">
        <v>76</v>
      </c>
      <c r="K3">
        <v>77</v>
      </c>
      <c r="L3">
        <v>71</v>
      </c>
      <c r="M3">
        <v>75</v>
      </c>
      <c r="N3">
        <v>74</v>
      </c>
      <c r="O3">
        <v>73</v>
      </c>
      <c r="P3">
        <f>(L3*N3*O3)^(1/3)</f>
        <v>72.655914952014115</v>
      </c>
      <c r="Q3">
        <f>(F3*H3*K3)^(1/3)</f>
        <v>74.081235357026699</v>
      </c>
      <c r="R3" t="s">
        <v>94</v>
      </c>
      <c r="S3">
        <v>18</v>
      </c>
      <c r="T3">
        <v>104</v>
      </c>
      <c r="U3">
        <v>102</v>
      </c>
      <c r="V3">
        <v>115</v>
      </c>
      <c r="W3">
        <v>110</v>
      </c>
      <c r="X3">
        <v>115</v>
      </c>
      <c r="Y3">
        <v>0</v>
      </c>
      <c r="Z3">
        <f>(T3*U3*V3*W3*X3)^(1/5)</f>
        <v>109.06474175824731</v>
      </c>
      <c r="AA3" s="1">
        <v>5</v>
      </c>
      <c r="AB3" s="1">
        <v>1</v>
      </c>
      <c r="AC3" s="1">
        <v>1</v>
      </c>
      <c r="AD3">
        <f>(P3*Q3*Z3)^(1/3)</f>
        <v>83.731304197638465</v>
      </c>
      <c r="AE3" t="s">
        <v>128</v>
      </c>
      <c r="AF3" t="s">
        <v>136</v>
      </c>
      <c r="AG3" t="s">
        <v>147</v>
      </c>
      <c r="AH3">
        <f>0.65*J3</f>
        <v>49.4</v>
      </c>
      <c r="AI3" s="4">
        <f>1-(AH3^2/2025)</f>
        <v>-0.20511604938271599</v>
      </c>
      <c r="AJ3">
        <f>G3-(2/3*L3)</f>
        <v>27.666666666666671</v>
      </c>
      <c r="AK3">
        <f>2*((5*AJ3)/(SQRT(((H3+AH3)/2)+AJ3)))</f>
        <v>28.787185221212997</v>
      </c>
      <c r="AL3">
        <f>AH3+AK3</f>
        <v>78.187185221212999</v>
      </c>
    </row>
    <row r="4" spans="1:38" x14ac:dyDescent="0.25">
      <c r="A4">
        <v>45</v>
      </c>
      <c r="B4" t="s">
        <v>59</v>
      </c>
      <c r="C4">
        <v>800</v>
      </c>
      <c r="D4">
        <v>53</v>
      </c>
      <c r="E4">
        <v>0</v>
      </c>
      <c r="F4">
        <v>59</v>
      </c>
      <c r="G4">
        <v>73</v>
      </c>
      <c r="H4">
        <v>78</v>
      </c>
      <c r="I4">
        <v>72</v>
      </c>
      <c r="J4">
        <v>70</v>
      </c>
      <c r="K4">
        <v>68</v>
      </c>
      <c r="L4">
        <v>76</v>
      </c>
      <c r="M4">
        <v>71</v>
      </c>
      <c r="N4">
        <v>78</v>
      </c>
      <c r="O4">
        <v>70</v>
      </c>
      <c r="P4">
        <f>(L4*N4*O4)^(1/3)</f>
        <v>74.587962704511085</v>
      </c>
      <c r="Q4">
        <f>(F4*H4*K4)^(1/3)</f>
        <v>67.891985377729512</v>
      </c>
      <c r="R4" t="s">
        <v>116</v>
      </c>
      <c r="S4">
        <v>31</v>
      </c>
      <c r="T4">
        <v>82</v>
      </c>
      <c r="U4">
        <v>110</v>
      </c>
      <c r="V4">
        <v>107</v>
      </c>
      <c r="W4">
        <v>103</v>
      </c>
      <c r="X4">
        <v>96</v>
      </c>
      <c r="Y4">
        <v>0</v>
      </c>
      <c r="Z4">
        <f>(T4*U4*V4*W4*X4)^(1/5)</f>
        <v>99.069450604704215</v>
      </c>
      <c r="AA4" s="1">
        <v>3</v>
      </c>
      <c r="AB4" s="1">
        <v>4</v>
      </c>
      <c r="AC4" s="1">
        <v>7</v>
      </c>
      <c r="AD4">
        <f>(P4*Q4*Z4)^(1/3)</f>
        <v>79.458861149020194</v>
      </c>
      <c r="AE4" t="s">
        <v>128</v>
      </c>
      <c r="AF4" t="s">
        <v>138</v>
      </c>
      <c r="AH4">
        <f>0.65*J4</f>
        <v>45.5</v>
      </c>
      <c r="AI4" s="4">
        <f>1-(AH4^2/2025)</f>
        <v>-2.2345679012345743E-2</v>
      </c>
      <c r="AJ4">
        <f>G4-(2/3*L4)</f>
        <v>22.333333333333336</v>
      </c>
      <c r="AK4">
        <f>2*((5*AJ4)/(SQRT(((H4+AH4)/2)+AJ4)))</f>
        <v>24.3555862605375</v>
      </c>
      <c r="AL4">
        <f>AH4+AK4</f>
        <v>69.855586260537507</v>
      </c>
    </row>
    <row r="5" spans="1:38" x14ac:dyDescent="0.25">
      <c r="A5">
        <v>38</v>
      </c>
      <c r="B5" t="s">
        <v>53</v>
      </c>
      <c r="C5">
        <v>1000</v>
      </c>
      <c r="D5">
        <v>78</v>
      </c>
      <c r="E5">
        <v>0</v>
      </c>
      <c r="F5">
        <v>76</v>
      </c>
      <c r="G5">
        <v>48</v>
      </c>
      <c r="H5">
        <v>41</v>
      </c>
      <c r="I5">
        <v>76</v>
      </c>
      <c r="J5">
        <v>79</v>
      </c>
      <c r="K5">
        <v>76</v>
      </c>
      <c r="L5">
        <v>68</v>
      </c>
      <c r="M5">
        <v>79</v>
      </c>
      <c r="N5">
        <v>78</v>
      </c>
      <c r="O5">
        <v>80</v>
      </c>
      <c r="P5">
        <f>(L5*N5*O5)^(1/3)</f>
        <v>75.144609882774603</v>
      </c>
      <c r="Q5">
        <f>(F5*H5*K5)^(1/3)</f>
        <v>61.868608325241688</v>
      </c>
      <c r="R5" t="s">
        <v>109</v>
      </c>
      <c r="S5">
        <v>63</v>
      </c>
      <c r="T5">
        <v>75</v>
      </c>
      <c r="U5">
        <v>102</v>
      </c>
      <c r="V5">
        <v>93</v>
      </c>
      <c r="W5">
        <v>111</v>
      </c>
      <c r="X5">
        <v>113</v>
      </c>
      <c r="Y5">
        <v>0</v>
      </c>
      <c r="Z5">
        <f>(T5*U5*V5*W5*X5)^(1/5)</f>
        <v>97.748288327857196</v>
      </c>
      <c r="AA5" s="1">
        <v>2</v>
      </c>
      <c r="AB5" s="1">
        <v>9</v>
      </c>
      <c r="AC5" s="1">
        <v>8</v>
      </c>
      <c r="AD5">
        <f>(P5*Q5*Z5)^(1/3)</f>
        <v>76.882196201314073</v>
      </c>
      <c r="AE5" t="s">
        <v>128</v>
      </c>
      <c r="AF5" t="s">
        <v>137</v>
      </c>
      <c r="AH5">
        <f>0.65*J5</f>
        <v>51.35</v>
      </c>
      <c r="AI5" s="4">
        <f>1-(AH5^2/2025)</f>
        <v>-0.30213456790123461</v>
      </c>
      <c r="AJ5">
        <f>G5-(2/3*L5)</f>
        <v>2.6666666666666714</v>
      </c>
      <c r="AK5">
        <f>2*((5*AJ5)/(SQRT(((H5+AH5)/2)+AJ5)))</f>
        <v>3.8156936087657392</v>
      </c>
      <c r="AL5">
        <f>AH5+AK5</f>
        <v>55.165693608765743</v>
      </c>
    </row>
    <row r="6" spans="1:38" x14ac:dyDescent="0.25">
      <c r="A6">
        <v>13</v>
      </c>
      <c r="B6" t="s">
        <v>28</v>
      </c>
      <c r="C6">
        <v>800</v>
      </c>
      <c r="D6">
        <v>53</v>
      </c>
      <c r="E6">
        <v>0</v>
      </c>
      <c r="F6">
        <v>61</v>
      </c>
      <c r="G6">
        <v>80</v>
      </c>
      <c r="H6">
        <v>80</v>
      </c>
      <c r="I6">
        <v>75</v>
      </c>
      <c r="J6">
        <v>63</v>
      </c>
      <c r="K6">
        <v>65</v>
      </c>
      <c r="L6">
        <v>70</v>
      </c>
      <c r="M6">
        <v>68</v>
      </c>
      <c r="N6">
        <v>68</v>
      </c>
      <c r="O6">
        <v>65</v>
      </c>
      <c r="P6">
        <f>(L6*N6*O6)^(1/3)</f>
        <v>67.635302453070338</v>
      </c>
      <c r="Q6">
        <f>(F6*H6*K6)^(1/3)</f>
        <v>68.19895596134819</v>
      </c>
      <c r="R6" t="s">
        <v>85</v>
      </c>
      <c r="S6">
        <v>22</v>
      </c>
      <c r="T6">
        <v>91</v>
      </c>
      <c r="U6">
        <v>101</v>
      </c>
      <c r="V6">
        <v>104</v>
      </c>
      <c r="W6">
        <v>88</v>
      </c>
      <c r="X6">
        <v>106</v>
      </c>
      <c r="Y6">
        <v>0</v>
      </c>
      <c r="Z6">
        <f>(T6*U6*V6*W6*X6)^(1/5)</f>
        <v>97.732032010306668</v>
      </c>
      <c r="AA6" s="1">
        <v>10</v>
      </c>
      <c r="AB6" s="1">
        <v>3</v>
      </c>
      <c r="AC6" s="1">
        <v>9</v>
      </c>
      <c r="AD6">
        <f>(P6*Q6*Z6)^(1/3)</f>
        <v>76.676573510804658</v>
      </c>
      <c r="AE6" t="s">
        <v>128</v>
      </c>
      <c r="AF6" t="s">
        <v>139</v>
      </c>
      <c r="AG6" t="s">
        <v>148</v>
      </c>
      <c r="AH6">
        <f>0.65*J6</f>
        <v>40.950000000000003</v>
      </c>
      <c r="AI6" s="4">
        <f>1-(AH6^2/2025)</f>
        <v>0.17189999999999994</v>
      </c>
      <c r="AJ6">
        <f>G6-(2/3*L6)</f>
        <v>33.333333333333336</v>
      </c>
      <c r="AK6">
        <f>2*((5*AJ6)/(SQRT(((H6+AH6)/2)+AJ6)))</f>
        <v>34.415813156121459</v>
      </c>
      <c r="AL6">
        <f>AH6+AK6</f>
        <v>75.365813156121462</v>
      </c>
    </row>
    <row r="7" spans="1:38" x14ac:dyDescent="0.25">
      <c r="A7">
        <v>42</v>
      </c>
      <c r="B7" t="s">
        <v>56</v>
      </c>
      <c r="C7">
        <v>800</v>
      </c>
      <c r="D7">
        <v>49</v>
      </c>
      <c r="E7">
        <v>0</v>
      </c>
      <c r="F7">
        <v>56</v>
      </c>
      <c r="G7">
        <v>71</v>
      </c>
      <c r="H7">
        <v>69</v>
      </c>
      <c r="I7">
        <v>73</v>
      </c>
      <c r="J7">
        <v>70</v>
      </c>
      <c r="K7">
        <v>65</v>
      </c>
      <c r="L7">
        <v>75</v>
      </c>
      <c r="M7">
        <v>69</v>
      </c>
      <c r="N7">
        <v>73</v>
      </c>
      <c r="O7">
        <v>67</v>
      </c>
      <c r="P7">
        <f>(L7*N7*O7)^(1/3)</f>
        <v>71.584606513579132</v>
      </c>
      <c r="Q7">
        <f>(F7*H7*K7)^(1/3)</f>
        <v>63.093336078779735</v>
      </c>
      <c r="R7" t="s">
        <v>113</v>
      </c>
      <c r="S7">
        <v>21</v>
      </c>
      <c r="T7">
        <v>81</v>
      </c>
      <c r="U7">
        <v>112</v>
      </c>
      <c r="V7">
        <v>106</v>
      </c>
      <c r="W7">
        <v>93</v>
      </c>
      <c r="X7">
        <v>108</v>
      </c>
      <c r="Y7">
        <v>0</v>
      </c>
      <c r="Z7">
        <f>(T7*U7*V7*W7*X7)^(1/5)</f>
        <v>99.307745406170042</v>
      </c>
      <c r="AA7" s="1">
        <v>6</v>
      </c>
      <c r="AB7" s="1">
        <v>7</v>
      </c>
      <c r="AC7" s="1">
        <v>4</v>
      </c>
      <c r="AD7">
        <f>(P7*Q7*Z7)^(1/3)</f>
        <v>76.547101740751387</v>
      </c>
      <c r="AE7" t="s">
        <v>128</v>
      </c>
      <c r="AF7" t="s">
        <v>140</v>
      </c>
      <c r="AH7">
        <f>0.65*J7</f>
        <v>45.5</v>
      </c>
      <c r="AI7" s="4">
        <f>1-(AH7^2/2025)</f>
        <v>-2.2345679012345743E-2</v>
      </c>
      <c r="AJ7">
        <f>G7-(2/3*L7)</f>
        <v>21</v>
      </c>
      <c r="AK7">
        <f>2*((5*AJ7)/(SQRT(((H7+AH7)/2)+AJ7)))</f>
        <v>23.739803595657303</v>
      </c>
      <c r="AL7">
        <f>AH7+AK7</f>
        <v>69.239803595657307</v>
      </c>
    </row>
    <row r="8" spans="1:38" x14ac:dyDescent="0.25">
      <c r="A8">
        <v>9</v>
      </c>
      <c r="B8" t="s">
        <v>24</v>
      </c>
      <c r="C8">
        <v>600</v>
      </c>
      <c r="D8">
        <v>63</v>
      </c>
      <c r="E8">
        <v>0</v>
      </c>
      <c r="F8">
        <v>48</v>
      </c>
      <c r="G8">
        <v>79</v>
      </c>
      <c r="H8">
        <v>80</v>
      </c>
      <c r="I8">
        <v>78</v>
      </c>
      <c r="J8">
        <v>79</v>
      </c>
      <c r="K8">
        <v>70</v>
      </c>
      <c r="L8">
        <v>74</v>
      </c>
      <c r="M8">
        <v>74</v>
      </c>
      <c r="N8">
        <v>61</v>
      </c>
      <c r="O8">
        <v>71</v>
      </c>
      <c r="P8">
        <f>(L8*N8*O8)^(1/3)</f>
        <v>68.434216775695589</v>
      </c>
      <c r="Q8">
        <f>(F8*H8*K8)^(1/3)</f>
        <v>64.537145840981722</v>
      </c>
      <c r="R8" t="s">
        <v>81</v>
      </c>
      <c r="S8">
        <v>30</v>
      </c>
      <c r="T8">
        <v>82</v>
      </c>
      <c r="U8">
        <v>106</v>
      </c>
      <c r="V8">
        <v>89</v>
      </c>
      <c r="W8">
        <v>113</v>
      </c>
      <c r="X8">
        <v>110</v>
      </c>
      <c r="Y8">
        <v>0</v>
      </c>
      <c r="Z8">
        <f>(T8*U8*V8*W8*X8)^(1/5)</f>
        <v>99.219302709069495</v>
      </c>
      <c r="AA8" s="1">
        <v>9</v>
      </c>
      <c r="AB8" s="1">
        <v>5</v>
      </c>
      <c r="AC8" s="1">
        <v>6</v>
      </c>
      <c r="AD8">
        <f>(P8*Q8*Z8)^(1/3)</f>
        <v>75.955590109188009</v>
      </c>
      <c r="AE8" t="s">
        <v>128</v>
      </c>
      <c r="AF8" t="s">
        <v>141</v>
      </c>
      <c r="AG8" t="s">
        <v>149</v>
      </c>
      <c r="AH8">
        <f>0.65*J8</f>
        <v>51.35</v>
      </c>
      <c r="AI8" s="4">
        <f>1-(AH8^2/2025)</f>
        <v>-0.30213456790123461</v>
      </c>
      <c r="AJ8">
        <f>G8-(2/3*L8)</f>
        <v>29.666666666666671</v>
      </c>
      <c r="AK8">
        <f>2*((5*AJ8)/(SQRT(((H8+AH8)/2)+AJ8)))</f>
        <v>30.382771129651221</v>
      </c>
      <c r="AL8">
        <f>AH8+AK8</f>
        <v>81.732771129651226</v>
      </c>
    </row>
    <row r="9" spans="1:38" x14ac:dyDescent="0.25">
      <c r="A9">
        <v>14</v>
      </c>
      <c r="B9" t="s">
        <v>29</v>
      </c>
      <c r="C9">
        <v>800</v>
      </c>
      <c r="D9">
        <v>73</v>
      </c>
      <c r="E9">
        <v>0</v>
      </c>
      <c r="F9">
        <v>78</v>
      </c>
      <c r="G9">
        <v>40</v>
      </c>
      <c r="H9">
        <v>46</v>
      </c>
      <c r="I9">
        <v>80</v>
      </c>
      <c r="J9">
        <v>74</v>
      </c>
      <c r="K9">
        <v>68</v>
      </c>
      <c r="L9">
        <v>72</v>
      </c>
      <c r="M9">
        <v>73</v>
      </c>
      <c r="N9">
        <v>71</v>
      </c>
      <c r="O9">
        <v>63</v>
      </c>
      <c r="P9">
        <f>(L9*N9*O9)^(1/3)</f>
        <v>68.545213193224626</v>
      </c>
      <c r="Q9">
        <f>(F9*H9*K9)^(1/3)</f>
        <v>62.486631807533421</v>
      </c>
      <c r="R9" t="s">
        <v>86</v>
      </c>
      <c r="S9">
        <v>39</v>
      </c>
      <c r="T9">
        <v>98</v>
      </c>
      <c r="U9">
        <v>104</v>
      </c>
      <c r="V9">
        <v>93</v>
      </c>
      <c r="W9">
        <v>101</v>
      </c>
      <c r="X9">
        <v>112</v>
      </c>
      <c r="Y9">
        <v>0</v>
      </c>
      <c r="Z9">
        <f>(T9*U9*V9*W9*X9)^(1/5)</f>
        <v>101.40429546223</v>
      </c>
      <c r="AA9" s="1">
        <v>8</v>
      </c>
      <c r="AB9" s="1">
        <v>8</v>
      </c>
      <c r="AC9" s="1">
        <v>3</v>
      </c>
      <c r="AD9">
        <f>(P9*Q9*Z9)^(1/3)</f>
        <v>75.730972363733088</v>
      </c>
      <c r="AE9" t="s">
        <v>128</v>
      </c>
      <c r="AF9" t="s">
        <v>138</v>
      </c>
      <c r="AG9" t="s">
        <v>152</v>
      </c>
      <c r="AH9">
        <f>0.65*J9</f>
        <v>48.1</v>
      </c>
      <c r="AI9" s="4">
        <f>1-(AH9^2/2025)</f>
        <v>-0.14252345679012346</v>
      </c>
      <c r="AJ9" s="3">
        <f>G9-(2/3*L9)</f>
        <v>-8</v>
      </c>
      <c r="AK9">
        <f>2*((5*AJ9)/(SQRT(((H9+AH9)/2)+AJ9)))</f>
        <v>-12.80204849165111</v>
      </c>
      <c r="AL9" s="3">
        <f>AH9+AK9</f>
        <v>35.297951508348888</v>
      </c>
    </row>
    <row r="10" spans="1:38" x14ac:dyDescent="0.25">
      <c r="A10">
        <v>32</v>
      </c>
      <c r="B10" t="s">
        <v>47</v>
      </c>
      <c r="C10">
        <v>1000</v>
      </c>
      <c r="D10">
        <v>62</v>
      </c>
      <c r="E10">
        <v>0</v>
      </c>
      <c r="F10">
        <v>68</v>
      </c>
      <c r="G10">
        <v>69</v>
      </c>
      <c r="H10">
        <v>63</v>
      </c>
      <c r="I10">
        <v>63</v>
      </c>
      <c r="J10">
        <v>65</v>
      </c>
      <c r="K10">
        <v>61</v>
      </c>
      <c r="L10">
        <v>69</v>
      </c>
      <c r="M10">
        <v>70</v>
      </c>
      <c r="N10">
        <v>69</v>
      </c>
      <c r="O10">
        <v>58</v>
      </c>
      <c r="P10">
        <f>(L10*N10*O10)^(1/3)</f>
        <v>65.119150290655128</v>
      </c>
      <c r="Q10">
        <f>(F10*H10*K10)^(1/3)</f>
        <v>63.933198527852717</v>
      </c>
      <c r="R10" t="s">
        <v>103</v>
      </c>
      <c r="S10">
        <v>38</v>
      </c>
      <c r="T10">
        <v>96</v>
      </c>
      <c r="U10">
        <v>106</v>
      </c>
      <c r="V10">
        <v>86</v>
      </c>
      <c r="W10">
        <v>101</v>
      </c>
      <c r="X10">
        <v>81</v>
      </c>
      <c r="Y10">
        <v>0</v>
      </c>
      <c r="Z10">
        <f>(T10*U10*V10*W10*X10)^(1/5)</f>
        <v>93.535481974801968</v>
      </c>
      <c r="AA10" s="1">
        <v>11</v>
      </c>
      <c r="AB10" s="1">
        <v>6</v>
      </c>
      <c r="AC10" s="1">
        <v>10</v>
      </c>
      <c r="AD10">
        <f>(P10*Q10*Z10)^(1/3)</f>
        <v>73.024823385404346</v>
      </c>
      <c r="AE10" t="s">
        <v>130</v>
      </c>
      <c r="AF10" t="s">
        <v>139</v>
      </c>
      <c r="AG10" t="s">
        <v>151</v>
      </c>
      <c r="AH10">
        <f>0.65*J10</f>
        <v>42.25</v>
      </c>
      <c r="AI10" s="4">
        <f>1-(AH10^2/2025)</f>
        <v>0.11848765432098762</v>
      </c>
      <c r="AJ10">
        <f>G10-(2/3*L10)</f>
        <v>23</v>
      </c>
      <c r="AK10">
        <f>2*((5*AJ10)/(SQRT(((H10+AH10)/2)+AJ10)))</f>
        <v>26.448140430499173</v>
      </c>
      <c r="AL10">
        <f>AH10+AK10</f>
        <v>68.698140430499166</v>
      </c>
    </row>
    <row r="11" spans="1:38" x14ac:dyDescent="0.25">
      <c r="A11">
        <v>25</v>
      </c>
      <c r="B11" t="s">
        <v>40</v>
      </c>
      <c r="C11">
        <v>1000</v>
      </c>
      <c r="D11">
        <v>55</v>
      </c>
      <c r="E11">
        <v>0</v>
      </c>
      <c r="F11">
        <v>51</v>
      </c>
      <c r="G11">
        <v>52</v>
      </c>
      <c r="H11">
        <v>48</v>
      </c>
      <c r="I11">
        <v>76</v>
      </c>
      <c r="J11">
        <v>65</v>
      </c>
      <c r="K11">
        <v>60</v>
      </c>
      <c r="L11">
        <v>74</v>
      </c>
      <c r="M11">
        <v>65</v>
      </c>
      <c r="N11">
        <v>75</v>
      </c>
      <c r="O11">
        <v>71</v>
      </c>
      <c r="P11">
        <f>(L11*N11*O11)^(1/3)</f>
        <v>73.313470286134418</v>
      </c>
      <c r="Q11">
        <f>(F11*H11*K11)^(1/3)</f>
        <v>52.761956065898168</v>
      </c>
      <c r="R11" t="s">
        <v>96</v>
      </c>
      <c r="S11">
        <v>32</v>
      </c>
      <c r="T11">
        <v>115</v>
      </c>
      <c r="U11">
        <v>110</v>
      </c>
      <c r="V11">
        <v>102</v>
      </c>
      <c r="W11">
        <v>85</v>
      </c>
      <c r="X11">
        <v>88</v>
      </c>
      <c r="Y11">
        <v>0</v>
      </c>
      <c r="Z11">
        <f>(T11*U11*V11*W11*X11)^(1/5)</f>
        <v>99.292960339357776</v>
      </c>
      <c r="AA11" s="1">
        <v>4</v>
      </c>
      <c r="AB11" s="1">
        <v>17</v>
      </c>
      <c r="AC11" s="1">
        <v>5</v>
      </c>
      <c r="AD11">
        <f>(P11*Q11*Z11)^(1/3)</f>
        <v>72.689950774447908</v>
      </c>
      <c r="AE11" t="s">
        <v>130</v>
      </c>
      <c r="AF11" t="s">
        <v>134</v>
      </c>
      <c r="AG11" t="s">
        <v>150</v>
      </c>
      <c r="AH11">
        <f>0.65*J11</f>
        <v>42.25</v>
      </c>
      <c r="AI11" s="4">
        <f>1-(AH11^2/2025)</f>
        <v>0.11848765432098762</v>
      </c>
      <c r="AJ11">
        <f>G11-(2/3*L11)</f>
        <v>2.6666666666666714</v>
      </c>
      <c r="AK11">
        <f>2*((5*AJ11)/(SQRT(((H11+AH11)/2)+AJ11)))</f>
        <v>3.8573819521220436</v>
      </c>
      <c r="AL11">
        <f>AH11+AK11</f>
        <v>46.10738195212204</v>
      </c>
    </row>
    <row r="12" spans="1:38" x14ac:dyDescent="0.25">
      <c r="A12">
        <v>26</v>
      </c>
      <c r="B12" t="s">
        <v>41</v>
      </c>
      <c r="C12">
        <v>1000</v>
      </c>
      <c r="D12">
        <v>58</v>
      </c>
      <c r="E12">
        <v>0</v>
      </c>
      <c r="F12">
        <v>53</v>
      </c>
      <c r="G12">
        <v>69</v>
      </c>
      <c r="H12">
        <v>57</v>
      </c>
      <c r="I12">
        <v>61</v>
      </c>
      <c r="J12">
        <v>58</v>
      </c>
      <c r="K12">
        <v>57</v>
      </c>
      <c r="L12">
        <v>58</v>
      </c>
      <c r="M12">
        <v>61</v>
      </c>
      <c r="N12">
        <v>72</v>
      </c>
      <c r="O12">
        <v>63</v>
      </c>
      <c r="P12">
        <f>(L12*N12*O12)^(1/3)</f>
        <v>64.07673088570175</v>
      </c>
      <c r="Q12">
        <f>(F12*H12*K12)^(1/3)</f>
        <v>55.634201650752019</v>
      </c>
      <c r="R12" t="s">
        <v>97</v>
      </c>
      <c r="S12">
        <v>15</v>
      </c>
      <c r="T12">
        <v>86</v>
      </c>
      <c r="U12">
        <v>90</v>
      </c>
      <c r="V12">
        <v>96</v>
      </c>
      <c r="W12">
        <v>81</v>
      </c>
      <c r="X12">
        <v>92</v>
      </c>
      <c r="Y12">
        <v>0</v>
      </c>
      <c r="Z12">
        <f>(T12*U12*V12*W12*X12)^(1/5)</f>
        <v>88.849913225041462</v>
      </c>
      <c r="AA12" s="1">
        <v>12</v>
      </c>
      <c r="AB12" s="1">
        <v>12</v>
      </c>
      <c r="AC12" s="1">
        <v>12</v>
      </c>
      <c r="AD12">
        <f>(P12*Q12*Z12)^(1/3)</f>
        <v>68.165779428031499</v>
      </c>
      <c r="AE12" t="s">
        <v>130</v>
      </c>
      <c r="AF12" t="s">
        <v>142</v>
      </c>
      <c r="AG12" t="s">
        <v>153</v>
      </c>
      <c r="AH12">
        <f>0.65*J12</f>
        <v>37.700000000000003</v>
      </c>
      <c r="AI12" s="4">
        <f>1-(AH12^2/2025)</f>
        <v>0.29812839506172828</v>
      </c>
      <c r="AJ12">
        <f>G12-(2/3*L12)</f>
        <v>30.333333333333336</v>
      </c>
      <c r="AK12">
        <f>2*((5*AJ12)/(SQRT(((H12+AH12)/2)+AJ12)))</f>
        <v>34.415668618263226</v>
      </c>
      <c r="AL12">
        <f>AH12+AK12</f>
        <v>72.115668618263228</v>
      </c>
    </row>
    <row r="13" spans="1:38" x14ac:dyDescent="0.25">
      <c r="A13">
        <v>21</v>
      </c>
      <c r="B13" t="s">
        <v>36</v>
      </c>
      <c r="C13">
        <v>800</v>
      </c>
      <c r="D13">
        <v>52</v>
      </c>
      <c r="E13">
        <v>0</v>
      </c>
      <c r="F13">
        <v>44</v>
      </c>
      <c r="G13">
        <v>68</v>
      </c>
      <c r="H13">
        <v>70</v>
      </c>
      <c r="I13">
        <v>71</v>
      </c>
      <c r="J13">
        <v>59</v>
      </c>
      <c r="K13">
        <v>54</v>
      </c>
      <c r="L13">
        <v>62</v>
      </c>
      <c r="M13">
        <v>56</v>
      </c>
      <c r="N13">
        <v>58</v>
      </c>
      <c r="O13">
        <v>59</v>
      </c>
      <c r="P13">
        <f>(L13*N13*O13)^(1/3)</f>
        <v>59.642691212493077</v>
      </c>
      <c r="Q13">
        <f>(F13*H13*K13)^(1/3)</f>
        <v>54.993938725981302</v>
      </c>
      <c r="R13" t="s">
        <v>92</v>
      </c>
      <c r="S13">
        <v>27</v>
      </c>
      <c r="T13">
        <v>71</v>
      </c>
      <c r="U13">
        <v>103</v>
      </c>
      <c r="V13">
        <v>105</v>
      </c>
      <c r="W13">
        <v>84</v>
      </c>
      <c r="X13">
        <v>101</v>
      </c>
      <c r="Y13">
        <v>0</v>
      </c>
      <c r="Z13">
        <f>(T13*U13*V13*W13*X13)^(1/5)</f>
        <v>91.78614003552201</v>
      </c>
      <c r="AA13" s="1">
        <v>14</v>
      </c>
      <c r="AB13" s="1">
        <v>14</v>
      </c>
      <c r="AC13" s="1">
        <v>11</v>
      </c>
      <c r="AD13">
        <f>(P13*Q13*Z13)^(1/3)</f>
        <v>67.021846351328719</v>
      </c>
      <c r="AE13" t="s">
        <v>130</v>
      </c>
      <c r="AF13" t="s">
        <v>143</v>
      </c>
      <c r="AG13" t="s">
        <v>154</v>
      </c>
      <c r="AH13">
        <f>0.65*J13</f>
        <v>38.35</v>
      </c>
      <c r="AI13" s="4">
        <f>1-(AH13^2/2025)</f>
        <v>0.27371728395061723</v>
      </c>
      <c r="AJ13">
        <f>G13-(2/3*L13)</f>
        <v>26.666666666666671</v>
      </c>
      <c r="AK13">
        <f>2*((5*AJ13)/(SQRT(((H13+AH13)/2)+AJ13)))</f>
        <v>29.658631154382181</v>
      </c>
      <c r="AL13">
        <f>AH13+AK13</f>
        <v>68.008631154382186</v>
      </c>
    </row>
    <row r="14" spans="1:38" x14ac:dyDescent="0.25">
      <c r="A14">
        <v>19</v>
      </c>
      <c r="B14" t="s">
        <v>34</v>
      </c>
      <c r="C14">
        <v>800</v>
      </c>
      <c r="D14">
        <v>68</v>
      </c>
      <c r="E14">
        <v>0</v>
      </c>
      <c r="F14">
        <v>65</v>
      </c>
      <c r="G14">
        <v>48</v>
      </c>
      <c r="H14">
        <v>45</v>
      </c>
      <c r="I14">
        <v>73</v>
      </c>
      <c r="J14">
        <v>65</v>
      </c>
      <c r="K14">
        <v>64</v>
      </c>
      <c r="L14">
        <v>73</v>
      </c>
      <c r="M14">
        <v>61</v>
      </c>
      <c r="N14">
        <v>72</v>
      </c>
      <c r="O14">
        <v>63</v>
      </c>
      <c r="P14">
        <f>(L14*N14*O14)^(1/3)</f>
        <v>69.182879701160502</v>
      </c>
      <c r="Q14">
        <f>(F14*H14*K14)^(1/3)</f>
        <v>57.205170119664565</v>
      </c>
      <c r="R14" t="s">
        <v>90</v>
      </c>
      <c r="S14">
        <v>41</v>
      </c>
      <c r="T14">
        <v>52</v>
      </c>
      <c r="U14">
        <v>113</v>
      </c>
      <c r="V14">
        <v>31</v>
      </c>
      <c r="W14">
        <v>88</v>
      </c>
      <c r="X14">
        <v>91</v>
      </c>
      <c r="Y14">
        <v>0</v>
      </c>
      <c r="Z14">
        <f>(T14*U14*V14*W14*X14)^(1/5)</f>
        <v>68.04457550548446</v>
      </c>
      <c r="AA14" s="1">
        <v>7</v>
      </c>
      <c r="AB14" s="1">
        <v>11</v>
      </c>
      <c r="AC14" s="3">
        <v>36</v>
      </c>
      <c r="AD14">
        <f>(P14*Q14*Z14)^(1/3)</f>
        <v>64.576694157456615</v>
      </c>
      <c r="AE14" t="s">
        <v>130</v>
      </c>
      <c r="AF14" t="s">
        <v>144</v>
      </c>
      <c r="AG14" t="s">
        <v>155</v>
      </c>
      <c r="AH14">
        <f>0.65*J14</f>
        <v>42.25</v>
      </c>
      <c r="AI14" s="4">
        <f>1-(AH14^2/2025)</f>
        <v>0.11848765432098762</v>
      </c>
      <c r="AJ14" s="3">
        <f>G14-(2/3*L14)</f>
        <v>-0.6666666666666643</v>
      </c>
      <c r="AK14">
        <f>2*((5*AJ14)/(SQRT(((H14+AH14)/2)+AJ14)))</f>
        <v>-1.0171500602514383</v>
      </c>
      <c r="AL14" s="3">
        <f>AH14+AK14</f>
        <v>41.232849939748561</v>
      </c>
    </row>
    <row r="15" spans="1:38" x14ac:dyDescent="0.25">
      <c r="A15">
        <v>49</v>
      </c>
      <c r="B15" t="s">
        <v>63</v>
      </c>
      <c r="C15">
        <v>800</v>
      </c>
      <c r="D15">
        <v>48</v>
      </c>
      <c r="E15">
        <v>0</v>
      </c>
      <c r="F15">
        <v>45</v>
      </c>
      <c r="G15">
        <v>47</v>
      </c>
      <c r="H15">
        <v>47</v>
      </c>
      <c r="I15">
        <v>62</v>
      </c>
      <c r="J15">
        <v>65</v>
      </c>
      <c r="K15">
        <v>61</v>
      </c>
      <c r="L15">
        <v>60</v>
      </c>
      <c r="M15">
        <v>63</v>
      </c>
      <c r="N15">
        <v>61</v>
      </c>
      <c r="O15">
        <v>57</v>
      </c>
      <c r="P15">
        <f>(L15*N15*O15)^(1/3)</f>
        <v>59.308733086256545</v>
      </c>
      <c r="Q15">
        <f>(F15*H15*K15)^(1/3)</f>
        <v>50.529701835851455</v>
      </c>
      <c r="R15" t="s">
        <v>120</v>
      </c>
      <c r="S15">
        <v>46</v>
      </c>
      <c r="T15">
        <v>103</v>
      </c>
      <c r="U15">
        <v>83</v>
      </c>
      <c r="V15">
        <v>69</v>
      </c>
      <c r="W15">
        <v>96</v>
      </c>
      <c r="X15">
        <v>95</v>
      </c>
      <c r="Y15">
        <v>0</v>
      </c>
      <c r="Z15">
        <f>(T15*U15*V15*W15*X15)^(1/5)</f>
        <v>88.338871955755494</v>
      </c>
      <c r="AA15" s="1">
        <v>15</v>
      </c>
      <c r="AB15" s="2">
        <v>18</v>
      </c>
      <c r="AC15" s="1">
        <v>13</v>
      </c>
      <c r="AD15">
        <f>(P15*Q15*Z15)^(1/3)</f>
        <v>64.210454493152696</v>
      </c>
      <c r="AE15" t="s">
        <v>130</v>
      </c>
      <c r="AF15" t="s">
        <v>145</v>
      </c>
      <c r="AH15">
        <f>0.65*J15</f>
        <v>42.25</v>
      </c>
      <c r="AI15" s="4">
        <f>1-(AH15^2/2025)</f>
        <v>0.11848765432098762</v>
      </c>
      <c r="AJ15">
        <f>G15-(2/3*L15)</f>
        <v>7</v>
      </c>
      <c r="AK15">
        <f>2*((5*AJ15)/(SQRT(((H15+AH15)/2)+AJ15)))</f>
        <v>9.742446008949095</v>
      </c>
      <c r="AL15">
        <f>AH15+AK15</f>
        <v>51.992446008949095</v>
      </c>
    </row>
    <row r="16" spans="1:38" x14ac:dyDescent="0.25">
      <c r="A16">
        <v>30</v>
      </c>
      <c r="B16" t="s">
        <v>45</v>
      </c>
      <c r="C16">
        <v>1000</v>
      </c>
      <c r="D16">
        <v>63</v>
      </c>
      <c r="E16">
        <v>0</v>
      </c>
      <c r="F16">
        <v>68</v>
      </c>
      <c r="G16">
        <v>57</v>
      </c>
      <c r="H16">
        <v>61</v>
      </c>
      <c r="I16">
        <v>48</v>
      </c>
      <c r="J16">
        <v>38</v>
      </c>
      <c r="K16">
        <v>46</v>
      </c>
      <c r="L16">
        <v>52</v>
      </c>
      <c r="M16">
        <v>36</v>
      </c>
      <c r="N16">
        <v>56</v>
      </c>
      <c r="O16">
        <v>48</v>
      </c>
      <c r="P16">
        <f>(L16*N16*O16)^(1/3)</f>
        <v>51.897232933730805</v>
      </c>
      <c r="Q16">
        <f>(F16*H16*K16)^(1/3)</f>
        <v>57.570348679045033</v>
      </c>
      <c r="R16" t="s">
        <v>101</v>
      </c>
      <c r="S16">
        <v>23</v>
      </c>
      <c r="T16">
        <v>73</v>
      </c>
      <c r="U16">
        <v>98</v>
      </c>
      <c r="V16">
        <v>82</v>
      </c>
      <c r="W16">
        <v>52</v>
      </c>
      <c r="X16">
        <v>86</v>
      </c>
      <c r="Y16">
        <v>0</v>
      </c>
      <c r="Z16">
        <f>(T16*U16*V16*W16*X16)^(1/5)</f>
        <v>76.519639730270072</v>
      </c>
      <c r="AA16" s="2">
        <v>19</v>
      </c>
      <c r="AB16" s="1">
        <v>10</v>
      </c>
      <c r="AC16" s="2">
        <v>28</v>
      </c>
      <c r="AD16">
        <f>(P16*Q16*Z16)^(1/3)</f>
        <v>61.146554878976481</v>
      </c>
      <c r="AE16" t="s">
        <v>130</v>
      </c>
      <c r="AF16" t="s">
        <v>146</v>
      </c>
      <c r="AG16" t="s">
        <v>156</v>
      </c>
      <c r="AH16">
        <f>0.65*J16</f>
        <v>24.7</v>
      </c>
      <c r="AI16" s="5">
        <f>1-(AH16^2/2025)</f>
        <v>0.698720987654321</v>
      </c>
      <c r="AJ16">
        <f>G16-(2/3*L16)</f>
        <v>22.333333333333336</v>
      </c>
      <c r="AK16">
        <f>2*((5*AJ16)/(SQRT(((H16+AH16)/2)+AJ16)))</f>
        <v>27.662107529254303</v>
      </c>
      <c r="AL16">
        <f>AH16+AK16</f>
        <v>52.362107529254303</v>
      </c>
    </row>
    <row r="17" spans="1:38" x14ac:dyDescent="0.25">
      <c r="A17">
        <v>17</v>
      </c>
      <c r="B17" t="s">
        <v>32</v>
      </c>
      <c r="C17">
        <v>800</v>
      </c>
      <c r="D17">
        <v>38</v>
      </c>
      <c r="E17">
        <v>0</v>
      </c>
      <c r="F17">
        <v>41</v>
      </c>
      <c r="G17">
        <v>36</v>
      </c>
      <c r="H17">
        <v>42</v>
      </c>
      <c r="I17">
        <v>61</v>
      </c>
      <c r="J17">
        <v>73</v>
      </c>
      <c r="K17">
        <v>69</v>
      </c>
      <c r="L17">
        <v>54</v>
      </c>
      <c r="M17">
        <v>68</v>
      </c>
      <c r="N17">
        <v>63</v>
      </c>
      <c r="O17">
        <v>50</v>
      </c>
      <c r="P17">
        <f>(L17*N17*O17)^(1/3)</f>
        <v>55.407442513434958</v>
      </c>
      <c r="Q17">
        <f>(F17*H17*K17)^(1/3)</f>
        <v>49.161758902384868</v>
      </c>
      <c r="R17" t="s">
        <v>89</v>
      </c>
      <c r="S17">
        <v>20</v>
      </c>
      <c r="T17">
        <v>90</v>
      </c>
      <c r="U17">
        <v>85</v>
      </c>
      <c r="V17">
        <v>46</v>
      </c>
      <c r="W17">
        <v>109</v>
      </c>
      <c r="X17">
        <v>88</v>
      </c>
      <c r="Y17">
        <v>0</v>
      </c>
      <c r="Z17">
        <f>(T17*U17*V17*W17*X17)^(1/5)</f>
        <v>80.475871292938109</v>
      </c>
      <c r="AA17" s="1">
        <v>16</v>
      </c>
      <c r="AB17" s="2">
        <v>19</v>
      </c>
      <c r="AC17" s="2">
        <v>23</v>
      </c>
      <c r="AD17">
        <f>(P17*Q17*Z17)^(1/3)</f>
        <v>60.295800896964579</v>
      </c>
      <c r="AE17" t="s">
        <v>130</v>
      </c>
      <c r="AF17" t="s">
        <v>145</v>
      </c>
      <c r="AG17" t="s">
        <v>157</v>
      </c>
      <c r="AH17">
        <f>0.65*J17</f>
        <v>47.45</v>
      </c>
      <c r="AI17" s="4">
        <f>1-(AH17^2/2025)</f>
        <v>-0.11185308641975311</v>
      </c>
      <c r="AJ17">
        <f>G17-(2/3*L17)</f>
        <v>0</v>
      </c>
      <c r="AK17">
        <f>2*((5*AJ17)/(SQRT(((H17+AH17)/2)+AJ17)))</f>
        <v>0</v>
      </c>
      <c r="AL17">
        <f>AH17+AK17</f>
        <v>47.45</v>
      </c>
    </row>
    <row r="18" spans="1:38" x14ac:dyDescent="0.25">
      <c r="A18">
        <v>5</v>
      </c>
      <c r="B18" t="s">
        <v>20</v>
      </c>
      <c r="C18">
        <v>600</v>
      </c>
      <c r="D18">
        <v>61</v>
      </c>
      <c r="E18">
        <v>0</v>
      </c>
      <c r="F18">
        <v>52</v>
      </c>
      <c r="G18">
        <v>35</v>
      </c>
      <c r="H18">
        <v>37</v>
      </c>
      <c r="I18">
        <v>68</v>
      </c>
      <c r="J18">
        <v>58</v>
      </c>
      <c r="K18">
        <v>49</v>
      </c>
      <c r="L18">
        <v>43</v>
      </c>
      <c r="M18">
        <v>78</v>
      </c>
      <c r="N18">
        <v>63</v>
      </c>
      <c r="O18">
        <v>54</v>
      </c>
      <c r="P18">
        <f>(L18*N18*O18)^(1/3)</f>
        <v>52.690734784487077</v>
      </c>
      <c r="Q18">
        <f>(F18*H18*K18)^(1/3)</f>
        <v>45.51281690208635</v>
      </c>
      <c r="R18" t="s">
        <v>77</v>
      </c>
      <c r="S18">
        <v>17</v>
      </c>
      <c r="T18">
        <v>81</v>
      </c>
      <c r="U18">
        <v>108</v>
      </c>
      <c r="V18">
        <v>48</v>
      </c>
      <c r="W18">
        <v>92</v>
      </c>
      <c r="X18">
        <v>102</v>
      </c>
      <c r="Y18">
        <v>0</v>
      </c>
      <c r="Z18">
        <f>(T18*U18*V18*W18*X18)^(1/5)</f>
        <v>83.005639942922357</v>
      </c>
      <c r="AA18" s="1">
        <v>17</v>
      </c>
      <c r="AB18" s="2">
        <v>24</v>
      </c>
      <c r="AC18" s="1">
        <v>17</v>
      </c>
      <c r="AD18">
        <f>(P18*Q18*Z18)^(1/3)</f>
        <v>58.388213988476579</v>
      </c>
      <c r="AE18" t="s">
        <v>129</v>
      </c>
      <c r="AF18" t="s">
        <v>145</v>
      </c>
      <c r="AH18">
        <f>0.65*J18</f>
        <v>37.700000000000003</v>
      </c>
      <c r="AI18" s="4">
        <f>1-(AH18^2/2025)</f>
        <v>0.29812839506172828</v>
      </c>
      <c r="AJ18">
        <f>G18-(2/3*L18)</f>
        <v>6.3333333333333357</v>
      </c>
      <c r="AK18">
        <f>2*((5*AJ18)/(SQRT(((H18+AH18)/2)+AJ18)))</f>
        <v>9.5824036452765782</v>
      </c>
      <c r="AL18">
        <f>AH18+AK18</f>
        <v>47.282403645276581</v>
      </c>
    </row>
    <row r="19" spans="1:38" x14ac:dyDescent="0.25">
      <c r="A19">
        <v>36</v>
      </c>
      <c r="B19" t="s">
        <v>51</v>
      </c>
      <c r="C19">
        <v>1000</v>
      </c>
      <c r="D19">
        <v>58</v>
      </c>
      <c r="E19">
        <v>0</v>
      </c>
      <c r="F19">
        <v>51</v>
      </c>
      <c r="G19">
        <v>42</v>
      </c>
      <c r="H19">
        <v>39</v>
      </c>
      <c r="I19">
        <v>58</v>
      </c>
      <c r="J19">
        <v>52</v>
      </c>
      <c r="K19">
        <v>55</v>
      </c>
      <c r="L19">
        <v>49</v>
      </c>
      <c r="M19">
        <v>53</v>
      </c>
      <c r="N19">
        <v>51</v>
      </c>
      <c r="O19">
        <v>56</v>
      </c>
      <c r="P19">
        <f>(L19*N19*O19)^(1/3)</f>
        <v>51.918016769726641</v>
      </c>
      <c r="Q19">
        <f>(F19*H19*K19)^(1/3)</f>
        <v>47.826194334409777</v>
      </c>
      <c r="R19" t="s">
        <v>107</v>
      </c>
      <c r="S19">
        <v>46</v>
      </c>
      <c r="T19">
        <v>62</v>
      </c>
      <c r="U19">
        <v>92</v>
      </c>
      <c r="V19">
        <v>88</v>
      </c>
      <c r="W19">
        <v>76</v>
      </c>
      <c r="X19">
        <v>83</v>
      </c>
      <c r="Y19">
        <v>0</v>
      </c>
      <c r="Z19">
        <f>(T19*U19*V19*W19*X19)^(1/5)</f>
        <v>79.453086847259286</v>
      </c>
      <c r="AA19" s="2">
        <v>18</v>
      </c>
      <c r="AB19" s="2">
        <v>21</v>
      </c>
      <c r="AC19" s="2">
        <v>25</v>
      </c>
      <c r="AD19">
        <f>(P19*Q19*Z19)^(1/3)</f>
        <v>58.214552645633418</v>
      </c>
      <c r="AE19" t="s">
        <v>129</v>
      </c>
      <c r="AF19" t="s">
        <v>145</v>
      </c>
      <c r="AH19">
        <f>0.65*J19</f>
        <v>33.800000000000004</v>
      </c>
      <c r="AI19" s="4">
        <f>1-(AH19^2/2025)</f>
        <v>0.43583209876543194</v>
      </c>
      <c r="AJ19">
        <f>G19-(2/3*L19)</f>
        <v>9.3333333333333357</v>
      </c>
      <c r="AK19">
        <f>2*((5*AJ19)/(SQRT(((H19+AH19)/2)+AJ19)))</f>
        <v>13.801311186847087</v>
      </c>
      <c r="AL19">
        <f>AH19+AK19</f>
        <v>47.601311186847092</v>
      </c>
    </row>
    <row r="20" spans="1:38" x14ac:dyDescent="0.25">
      <c r="A20">
        <v>39</v>
      </c>
      <c r="B20" t="s">
        <v>54</v>
      </c>
      <c r="C20">
        <v>1000</v>
      </c>
      <c r="D20">
        <v>51</v>
      </c>
      <c r="E20">
        <v>0</v>
      </c>
      <c r="F20">
        <v>52</v>
      </c>
      <c r="G20">
        <v>61</v>
      </c>
      <c r="H20">
        <v>59</v>
      </c>
      <c r="I20">
        <v>43</v>
      </c>
      <c r="J20">
        <v>42</v>
      </c>
      <c r="K20">
        <v>48</v>
      </c>
      <c r="L20">
        <v>51</v>
      </c>
      <c r="M20">
        <v>40</v>
      </c>
      <c r="N20">
        <v>50</v>
      </c>
      <c r="O20">
        <v>43</v>
      </c>
      <c r="P20">
        <f>(L20*N20*O20)^(1/3)</f>
        <v>47.863326487784391</v>
      </c>
      <c r="Q20">
        <f>(F20*H20*K20)^(1/3)</f>
        <v>52.807895972490151</v>
      </c>
      <c r="R20" t="s">
        <v>110</v>
      </c>
      <c r="S20">
        <v>6</v>
      </c>
      <c r="T20">
        <v>95</v>
      </c>
      <c r="U20">
        <v>91</v>
      </c>
      <c r="V20">
        <v>76</v>
      </c>
      <c r="W20">
        <v>61</v>
      </c>
      <c r="X20">
        <v>70</v>
      </c>
      <c r="Y20">
        <v>0</v>
      </c>
      <c r="Z20">
        <f>(T20*U20*V20*W20*X20)^(1/5)</f>
        <v>77.553480468026692</v>
      </c>
      <c r="AA20" s="2">
        <v>22</v>
      </c>
      <c r="AB20" s="1">
        <v>16</v>
      </c>
      <c r="AC20" s="2">
        <v>26</v>
      </c>
      <c r="AD20">
        <f>(P20*Q20*Z20)^(1/3)</f>
        <v>58.089951242998247</v>
      </c>
      <c r="AE20" t="s">
        <v>129</v>
      </c>
      <c r="AF20" t="s">
        <v>5</v>
      </c>
      <c r="AH20">
        <f>0.65*J20</f>
        <v>27.3</v>
      </c>
      <c r="AI20" s="5">
        <f>1-(AH20^2/2025)</f>
        <v>0.63195555555555549</v>
      </c>
      <c r="AJ20">
        <f>G20-(2/3*L20)</f>
        <v>27</v>
      </c>
      <c r="AK20">
        <f>2*((5*AJ20)/(SQRT(((H20+AH20)/2)+AJ20)))</f>
        <v>32.236651665768576</v>
      </c>
      <c r="AL20">
        <f>AH20+AK20</f>
        <v>59.536651665768574</v>
      </c>
    </row>
    <row r="21" spans="1:38" x14ac:dyDescent="0.25">
      <c r="A21">
        <v>10</v>
      </c>
      <c r="B21" t="s">
        <v>25</v>
      </c>
      <c r="C21">
        <v>800</v>
      </c>
      <c r="D21">
        <v>60</v>
      </c>
      <c r="E21">
        <v>0</v>
      </c>
      <c r="F21">
        <v>64</v>
      </c>
      <c r="G21">
        <v>38</v>
      </c>
      <c r="H21">
        <v>54</v>
      </c>
      <c r="I21">
        <v>60</v>
      </c>
      <c r="J21">
        <v>51</v>
      </c>
      <c r="K21">
        <v>48</v>
      </c>
      <c r="L21">
        <v>46</v>
      </c>
      <c r="M21">
        <v>40</v>
      </c>
      <c r="N21">
        <v>42</v>
      </c>
      <c r="O21">
        <v>33</v>
      </c>
      <c r="P21">
        <f>(L21*N21*O21)^(1/3)</f>
        <v>39.949101928795599</v>
      </c>
      <c r="Q21">
        <f>(F21*H21*K21)^(1/3)</f>
        <v>54.946283642559941</v>
      </c>
      <c r="R21" t="s">
        <v>82</v>
      </c>
      <c r="S21">
        <v>13</v>
      </c>
      <c r="T21">
        <v>81</v>
      </c>
      <c r="U21">
        <v>75</v>
      </c>
      <c r="V21">
        <v>108</v>
      </c>
      <c r="W21">
        <v>61</v>
      </c>
      <c r="X21">
        <v>98</v>
      </c>
      <c r="Y21">
        <v>0</v>
      </c>
      <c r="Z21">
        <f>(T21*U21*V21*W21*X21)^(1/5)</f>
        <v>82.928763454274332</v>
      </c>
      <c r="AA21" s="2">
        <v>32</v>
      </c>
      <c r="AB21" s="1">
        <v>15</v>
      </c>
      <c r="AC21" s="2">
        <v>18</v>
      </c>
      <c r="AD21">
        <f>(P21*Q21*Z21)^(1/3)</f>
        <v>56.673953741516151</v>
      </c>
      <c r="AE21" t="s">
        <v>129</v>
      </c>
      <c r="AF21" t="s">
        <v>5</v>
      </c>
      <c r="AH21">
        <f>0.65*J21</f>
        <v>33.15</v>
      </c>
      <c r="AI21" s="4">
        <f>1-(AH21^2/2025)</f>
        <v>0.4573222222222223</v>
      </c>
      <c r="AJ21">
        <f>G21-(2/3*L21)</f>
        <v>7.3333333333333357</v>
      </c>
      <c r="AK21">
        <f>2*((5*AJ21)/(SQRT(((H21+AH21)/2)+AJ21)))</f>
        <v>10.277961500537783</v>
      </c>
      <c r="AL21" s="3">
        <f>AH21+AK21</f>
        <v>43.427961500537783</v>
      </c>
    </row>
    <row r="22" spans="1:38" x14ac:dyDescent="0.25">
      <c r="A22">
        <v>20</v>
      </c>
      <c r="B22" t="s">
        <v>35</v>
      </c>
      <c r="C22">
        <v>800</v>
      </c>
      <c r="D22">
        <v>42</v>
      </c>
      <c r="E22">
        <v>0</v>
      </c>
      <c r="F22">
        <v>38</v>
      </c>
      <c r="G22">
        <v>58</v>
      </c>
      <c r="H22">
        <v>61</v>
      </c>
      <c r="I22">
        <v>52</v>
      </c>
      <c r="J22">
        <v>74</v>
      </c>
      <c r="K22">
        <v>72</v>
      </c>
      <c r="L22">
        <v>41</v>
      </c>
      <c r="M22">
        <v>53</v>
      </c>
      <c r="N22">
        <v>41</v>
      </c>
      <c r="O22">
        <v>38</v>
      </c>
      <c r="P22">
        <f>(L22*N22*O22)^(1/3)</f>
        <v>39.974567166034475</v>
      </c>
      <c r="Q22">
        <f>(F22*H22*K22)^(1/3)</f>
        <v>55.057350645777831</v>
      </c>
      <c r="R22" t="s">
        <v>91</v>
      </c>
      <c r="S22">
        <v>30</v>
      </c>
      <c r="T22">
        <v>83</v>
      </c>
      <c r="U22">
        <v>96</v>
      </c>
      <c r="V22">
        <v>88</v>
      </c>
      <c r="W22">
        <v>80</v>
      </c>
      <c r="X22">
        <v>65</v>
      </c>
      <c r="Y22">
        <v>0</v>
      </c>
      <c r="Z22">
        <f>(T22*U22*V22*W22*X22)^(1/5)</f>
        <v>81.727284331662204</v>
      </c>
      <c r="AA22" s="2">
        <v>31</v>
      </c>
      <c r="AB22" s="1">
        <v>13</v>
      </c>
      <c r="AC22" s="2">
        <v>22</v>
      </c>
      <c r="AD22">
        <f>(P22*Q22*Z22)^(1/3)</f>
        <v>56.448886890215348</v>
      </c>
      <c r="AE22" t="s">
        <v>129</v>
      </c>
      <c r="AF22" t="s">
        <v>146</v>
      </c>
      <c r="AG22" t="s">
        <v>159</v>
      </c>
      <c r="AH22">
        <f>0.65*J22</f>
        <v>48.1</v>
      </c>
      <c r="AI22" s="4">
        <f>1-(AH22^2/2025)</f>
        <v>-0.14252345679012346</v>
      </c>
      <c r="AJ22">
        <f>G22-(2/3*L22)</f>
        <v>30.666666666666668</v>
      </c>
      <c r="AK22">
        <f>2*((5*AJ22)/(SQRT(((H22+AH22)/2)+AJ22)))</f>
        <v>33.220357474399719</v>
      </c>
      <c r="AL22">
        <f>AH22+AK22</f>
        <v>81.320357474399714</v>
      </c>
    </row>
    <row r="23" spans="1:38" x14ac:dyDescent="0.25">
      <c r="A23">
        <v>46</v>
      </c>
      <c r="B23" t="s">
        <v>60</v>
      </c>
      <c r="C23">
        <v>800</v>
      </c>
      <c r="D23">
        <v>25</v>
      </c>
      <c r="E23">
        <v>0</v>
      </c>
      <c r="F23">
        <v>28</v>
      </c>
      <c r="G23">
        <v>65</v>
      </c>
      <c r="H23">
        <v>61</v>
      </c>
      <c r="I23">
        <v>48</v>
      </c>
      <c r="J23">
        <v>36</v>
      </c>
      <c r="K23">
        <v>39</v>
      </c>
      <c r="L23">
        <v>62</v>
      </c>
      <c r="M23">
        <v>41</v>
      </c>
      <c r="N23">
        <v>59</v>
      </c>
      <c r="O23">
        <v>63</v>
      </c>
      <c r="P23">
        <f>(L23*N23*O23)^(1/3)</f>
        <v>61.309543651310847</v>
      </c>
      <c r="Q23">
        <f>(F23*H23*K23)^(1/3)</f>
        <v>40.536927149418361</v>
      </c>
      <c r="R23" t="s">
        <v>117</v>
      </c>
      <c r="S23">
        <v>30</v>
      </c>
      <c r="T23">
        <v>88</v>
      </c>
      <c r="U23">
        <v>102</v>
      </c>
      <c r="V23">
        <v>73</v>
      </c>
      <c r="W23">
        <v>46</v>
      </c>
      <c r="X23">
        <v>65</v>
      </c>
      <c r="Y23">
        <v>0</v>
      </c>
      <c r="Z23">
        <f>(T23*U23*V23*W23*X23)^(1/5)</f>
        <v>72.179750823844529</v>
      </c>
      <c r="AA23" s="1">
        <v>13</v>
      </c>
      <c r="AB23" s="2">
        <v>33</v>
      </c>
      <c r="AC23" s="2">
        <v>32</v>
      </c>
      <c r="AD23">
        <f>(P23*Q23*Z23)^(1/3)</f>
        <v>56.398137517646433</v>
      </c>
      <c r="AE23" t="s">
        <v>129</v>
      </c>
      <c r="AF23" t="s">
        <v>161</v>
      </c>
      <c r="AH23">
        <f>0.65*J23</f>
        <v>23.400000000000002</v>
      </c>
      <c r="AI23" s="5">
        <f>1-(AH23^2/2025)</f>
        <v>0.72960000000000003</v>
      </c>
      <c r="AJ23">
        <f>G23-(2/3*L23)</f>
        <v>23.666666666666671</v>
      </c>
      <c r="AK23">
        <f>2*((5*AJ23)/(SQRT(((H23+AH23)/2)+AJ23)))</f>
        <v>29.161123437000203</v>
      </c>
      <c r="AL23">
        <f>AH23+AK23</f>
        <v>52.561123437000205</v>
      </c>
    </row>
    <row r="24" spans="1:38" x14ac:dyDescent="0.25">
      <c r="A24">
        <v>6</v>
      </c>
      <c r="B24" t="s">
        <v>21</v>
      </c>
      <c r="C24">
        <v>600</v>
      </c>
      <c r="D24">
        <v>43</v>
      </c>
      <c r="E24">
        <v>0</v>
      </c>
      <c r="F24">
        <v>47</v>
      </c>
      <c r="G24">
        <v>48</v>
      </c>
      <c r="H24">
        <v>51</v>
      </c>
      <c r="I24">
        <v>52</v>
      </c>
      <c r="J24">
        <v>33</v>
      </c>
      <c r="K24">
        <v>38</v>
      </c>
      <c r="L24">
        <v>41</v>
      </c>
      <c r="M24">
        <v>38</v>
      </c>
      <c r="N24">
        <v>53</v>
      </c>
      <c r="O24">
        <v>46</v>
      </c>
      <c r="P24">
        <f>(L24*N24*O24)^(1/3)</f>
        <v>46.409389201796984</v>
      </c>
      <c r="Q24">
        <f>(F24*H24*K24)^(1/3)</f>
        <v>44.993579330846188</v>
      </c>
      <c r="R24" t="s">
        <v>78</v>
      </c>
      <c r="S24">
        <v>39</v>
      </c>
      <c r="T24">
        <v>72</v>
      </c>
      <c r="U24">
        <v>110</v>
      </c>
      <c r="V24">
        <v>70</v>
      </c>
      <c r="W24">
        <v>61</v>
      </c>
      <c r="X24">
        <v>108</v>
      </c>
      <c r="Y24">
        <v>0</v>
      </c>
      <c r="Z24">
        <f>(T24*U24*V24*W24*X24)^(1/5)</f>
        <v>81.755195692642133</v>
      </c>
      <c r="AA24" s="2">
        <v>25</v>
      </c>
      <c r="AB24" s="2">
        <v>25</v>
      </c>
      <c r="AC24" s="2">
        <v>21</v>
      </c>
      <c r="AD24">
        <f>(P24*Q24*Z24)^(1/3)</f>
        <v>55.474141022082797</v>
      </c>
      <c r="AE24" t="s">
        <v>129</v>
      </c>
      <c r="AF24" t="s">
        <v>143</v>
      </c>
      <c r="AH24">
        <f>0.65*J24</f>
        <v>21.45</v>
      </c>
      <c r="AI24" s="5">
        <f>1-(AH24^2/2025)</f>
        <v>0.77278888888888897</v>
      </c>
      <c r="AJ24">
        <f>G24-(2/3*L24)</f>
        <v>20.666666666666668</v>
      </c>
      <c r="AK24">
        <f>2*((5*AJ24)/(SQRT(((H24+AH24)/2)+AJ24)))</f>
        <v>27.399718840696014</v>
      </c>
      <c r="AL24">
        <f>AH24+AK24</f>
        <v>48.849718840696013</v>
      </c>
    </row>
    <row r="25" spans="1:38" x14ac:dyDescent="0.25">
      <c r="A25">
        <v>4</v>
      </c>
      <c r="B25" t="s">
        <v>19</v>
      </c>
      <c r="C25">
        <v>600</v>
      </c>
      <c r="D25">
        <v>36</v>
      </c>
      <c r="E25">
        <v>0</v>
      </c>
      <c r="F25">
        <v>33</v>
      </c>
      <c r="G25">
        <v>51</v>
      </c>
      <c r="H25">
        <v>58</v>
      </c>
      <c r="I25">
        <v>61</v>
      </c>
      <c r="J25">
        <v>53</v>
      </c>
      <c r="K25">
        <v>36</v>
      </c>
      <c r="L25">
        <v>40</v>
      </c>
      <c r="M25">
        <v>81</v>
      </c>
      <c r="N25">
        <v>75</v>
      </c>
      <c r="O25">
        <v>31</v>
      </c>
      <c r="P25">
        <f>(L25*N25*O25)^(1/3)</f>
        <v>45.306548960834917</v>
      </c>
      <c r="Q25">
        <f>(F25*H25*K25)^(1/3)</f>
        <v>40.996628713478643</v>
      </c>
      <c r="R25" t="s">
        <v>76</v>
      </c>
      <c r="S25">
        <v>23</v>
      </c>
      <c r="T25">
        <v>90</v>
      </c>
      <c r="U25">
        <v>95</v>
      </c>
      <c r="V25">
        <v>100</v>
      </c>
      <c r="W25">
        <v>72</v>
      </c>
      <c r="X25">
        <v>81</v>
      </c>
      <c r="Y25">
        <v>0</v>
      </c>
      <c r="Z25">
        <f>(T25*U25*V25*W25*X25)^(1/5)</f>
        <v>87.007507176896098</v>
      </c>
      <c r="AA25" s="2">
        <v>26</v>
      </c>
      <c r="AB25" s="2">
        <v>32</v>
      </c>
      <c r="AC25" s="1">
        <v>14</v>
      </c>
      <c r="AD25">
        <f>(P25*Q25*Z25)^(1/3)</f>
        <v>54.469737776050934</v>
      </c>
      <c r="AE25" t="s">
        <v>129</v>
      </c>
      <c r="AF25" t="s">
        <v>162</v>
      </c>
      <c r="AH25">
        <f>0.65*J25</f>
        <v>34.450000000000003</v>
      </c>
      <c r="AI25" s="4">
        <f>1-(AH25^2/2025)</f>
        <v>0.41392469135802457</v>
      </c>
      <c r="AJ25">
        <f>G25-(2/3*L25)</f>
        <v>24.333333333333336</v>
      </c>
      <c r="AK25">
        <f>2*((5*AJ25)/(SQRT(((H25+AH25)/2)+AJ25)))</f>
        <v>28.968596097495787</v>
      </c>
      <c r="AL25">
        <f>AH25+AK25</f>
        <v>63.418596097495794</v>
      </c>
    </row>
    <row r="26" spans="1:38" x14ac:dyDescent="0.25">
      <c r="A26">
        <v>12</v>
      </c>
      <c r="B26" t="s">
        <v>27</v>
      </c>
      <c r="C26">
        <v>800</v>
      </c>
      <c r="D26">
        <v>26</v>
      </c>
      <c r="E26">
        <v>0</v>
      </c>
      <c r="F26">
        <v>31</v>
      </c>
      <c r="G26">
        <v>22</v>
      </c>
      <c r="H26">
        <v>34</v>
      </c>
      <c r="I26">
        <v>59</v>
      </c>
      <c r="J26">
        <v>58</v>
      </c>
      <c r="K26">
        <v>61</v>
      </c>
      <c r="L26">
        <v>46</v>
      </c>
      <c r="M26">
        <v>62</v>
      </c>
      <c r="N26">
        <v>50</v>
      </c>
      <c r="O26">
        <v>36</v>
      </c>
      <c r="P26">
        <f>(L26*N26*O26)^(1/3)</f>
        <v>43.585641822656406</v>
      </c>
      <c r="Q26">
        <f>(F26*H26*K26)^(1/3)</f>
        <v>40.061156449564415</v>
      </c>
      <c r="R26" t="s">
        <v>84</v>
      </c>
      <c r="S26">
        <v>53</v>
      </c>
      <c r="T26">
        <v>55</v>
      </c>
      <c r="U26">
        <v>100</v>
      </c>
      <c r="V26">
        <v>99</v>
      </c>
      <c r="W26">
        <v>86</v>
      </c>
      <c r="X26">
        <v>83</v>
      </c>
      <c r="Y26">
        <v>0</v>
      </c>
      <c r="Z26">
        <f>(T26*U26*V26*W26*X26)^(1/5)</f>
        <v>82.777991678953583</v>
      </c>
      <c r="AA26" s="2">
        <v>27</v>
      </c>
      <c r="AB26" s="3">
        <v>34</v>
      </c>
      <c r="AC26" s="2">
        <v>19</v>
      </c>
      <c r="AD26">
        <f>(P26*Q26*Z26)^(1/3)</f>
        <v>52.480013453358296</v>
      </c>
      <c r="AE26" t="s">
        <v>129</v>
      </c>
      <c r="AF26" t="s">
        <v>143</v>
      </c>
      <c r="AH26">
        <f>0.65*J26</f>
        <v>37.700000000000003</v>
      </c>
      <c r="AI26" s="4">
        <f>1-(AH26^2/2025)</f>
        <v>0.29812839506172828</v>
      </c>
      <c r="AJ26" s="3">
        <f>G26-(2/3*L26)</f>
        <v>-8.6666666666666643</v>
      </c>
      <c r="AK26">
        <f>2*((5*AJ26)/(SQRT(((H26+AH26)/2)+AJ26)))</f>
        <v>-16.62266826798378</v>
      </c>
      <c r="AL26" s="3">
        <f>AH26+AK26</f>
        <v>21.077331732016223</v>
      </c>
    </row>
    <row r="27" spans="1:38" x14ac:dyDescent="0.25">
      <c r="A27">
        <v>8</v>
      </c>
      <c r="B27" t="s">
        <v>23</v>
      </c>
      <c r="C27">
        <v>600</v>
      </c>
      <c r="D27">
        <v>49</v>
      </c>
      <c r="E27">
        <v>0</v>
      </c>
      <c r="F27">
        <v>38</v>
      </c>
      <c r="G27">
        <v>41</v>
      </c>
      <c r="H27">
        <v>31</v>
      </c>
      <c r="I27">
        <v>50</v>
      </c>
      <c r="J27">
        <v>72</v>
      </c>
      <c r="K27">
        <v>63</v>
      </c>
      <c r="L27">
        <v>38</v>
      </c>
      <c r="M27">
        <v>58</v>
      </c>
      <c r="N27">
        <v>53</v>
      </c>
      <c r="O27">
        <v>30</v>
      </c>
      <c r="P27">
        <f>(L27*N27*O27)^(1/3)</f>
        <v>39.239811005562345</v>
      </c>
      <c r="Q27">
        <f>(F27*H27*K27)^(1/3)</f>
        <v>42.023796039085305</v>
      </c>
      <c r="R27" t="s">
        <v>80</v>
      </c>
      <c r="S27">
        <v>39</v>
      </c>
      <c r="T27">
        <v>111</v>
      </c>
      <c r="U27">
        <v>86</v>
      </c>
      <c r="V27">
        <v>88</v>
      </c>
      <c r="W27">
        <v>92</v>
      </c>
      <c r="X27">
        <v>63</v>
      </c>
      <c r="Y27">
        <v>0</v>
      </c>
      <c r="Z27">
        <f>(T27*U27*V27*W27*X27)^(1/5)</f>
        <v>86.593739698260237</v>
      </c>
      <c r="AA27" s="3">
        <v>35</v>
      </c>
      <c r="AB27" s="2">
        <v>29</v>
      </c>
      <c r="AC27" s="1">
        <v>15</v>
      </c>
      <c r="AD27">
        <f>(P27*Q27*Z27)^(1/3)</f>
        <v>52.268041539674989</v>
      </c>
      <c r="AE27" t="s">
        <v>132</v>
      </c>
      <c r="AH27">
        <f>0.65*J27</f>
        <v>46.800000000000004</v>
      </c>
      <c r="AI27" s="4">
        <f>1-(AH27^2/2025)</f>
        <v>-8.1600000000000117E-2</v>
      </c>
      <c r="AJ27">
        <f>G27-(2/3*L27)</f>
        <v>15.666666666666668</v>
      </c>
      <c r="AK27">
        <f>2*((5*AJ27)/(SQRT(((H27+AH27)/2)+AJ27)))</f>
        <v>21.208643443403631</v>
      </c>
      <c r="AL27">
        <f>AH27+AK27</f>
        <v>68.008643443403628</v>
      </c>
    </row>
    <row r="28" spans="1:38" x14ac:dyDescent="0.25">
      <c r="A28">
        <v>33</v>
      </c>
      <c r="B28" t="s">
        <v>48</v>
      </c>
      <c r="C28">
        <v>1000</v>
      </c>
      <c r="D28">
        <v>39</v>
      </c>
      <c r="E28">
        <v>0</v>
      </c>
      <c r="F28">
        <v>36</v>
      </c>
      <c r="G28">
        <v>56</v>
      </c>
      <c r="H28">
        <v>58</v>
      </c>
      <c r="I28">
        <v>43</v>
      </c>
      <c r="J28">
        <v>43</v>
      </c>
      <c r="K28">
        <v>52</v>
      </c>
      <c r="L28">
        <v>36</v>
      </c>
      <c r="M28">
        <v>42</v>
      </c>
      <c r="N28">
        <v>37</v>
      </c>
      <c r="O28">
        <v>39</v>
      </c>
      <c r="P28">
        <f>(L28*N28*O28)^(1/3)</f>
        <v>37.312665714776237</v>
      </c>
      <c r="Q28">
        <f>(F28*H28*K28)^(1/3)</f>
        <v>47.706542883721063</v>
      </c>
      <c r="R28" t="s">
        <v>104</v>
      </c>
      <c r="S28">
        <v>11</v>
      </c>
      <c r="T28">
        <v>85</v>
      </c>
      <c r="U28">
        <v>61</v>
      </c>
      <c r="V28">
        <v>83</v>
      </c>
      <c r="W28">
        <v>51</v>
      </c>
      <c r="X28">
        <v>63</v>
      </c>
      <c r="Y28">
        <v>0</v>
      </c>
      <c r="Z28">
        <f>(T28*U28*V28*W28*X28)^(1/5)</f>
        <v>67.320528342399896</v>
      </c>
      <c r="AA28" s="3">
        <v>37</v>
      </c>
      <c r="AB28" s="2">
        <v>23</v>
      </c>
      <c r="AC28" s="3">
        <v>37</v>
      </c>
      <c r="AD28">
        <f>(P28*Q28*Z28)^(1/3)</f>
        <v>49.301550717115269</v>
      </c>
      <c r="AE28" t="s">
        <v>132</v>
      </c>
      <c r="AH28">
        <f>0.65*J28</f>
        <v>27.95</v>
      </c>
      <c r="AI28" s="5">
        <f>1-(AH28^2/2025)</f>
        <v>0.61422098765432098</v>
      </c>
      <c r="AJ28">
        <f>G28-(2/3*L28)</f>
        <v>32</v>
      </c>
      <c r="AK28">
        <f>2*((5*AJ28)/(SQRT(((H28+AH28)/2)+AJ28)))</f>
        <v>36.956577171035917</v>
      </c>
      <c r="AL28">
        <f>AH28+AK28</f>
        <v>64.90657717103592</v>
      </c>
    </row>
    <row r="29" spans="1:38" x14ac:dyDescent="0.25">
      <c r="A29">
        <v>44</v>
      </c>
      <c r="B29" t="s">
        <v>58</v>
      </c>
      <c r="C29">
        <v>800</v>
      </c>
      <c r="D29">
        <v>32</v>
      </c>
      <c r="E29">
        <v>0</v>
      </c>
      <c r="F29">
        <v>30</v>
      </c>
      <c r="G29">
        <v>48</v>
      </c>
      <c r="H29">
        <v>45</v>
      </c>
      <c r="I29">
        <v>39</v>
      </c>
      <c r="J29">
        <v>32</v>
      </c>
      <c r="K29">
        <v>38</v>
      </c>
      <c r="L29">
        <v>46</v>
      </c>
      <c r="M29">
        <v>38</v>
      </c>
      <c r="N29">
        <v>48</v>
      </c>
      <c r="O29">
        <v>46</v>
      </c>
      <c r="P29">
        <f>(L29*N29*O29)^(1/3)</f>
        <v>46.657231652658758</v>
      </c>
      <c r="Q29">
        <f>(F29*H29*K29)^(1/3)</f>
        <v>37.156869888905128</v>
      </c>
      <c r="R29" t="s">
        <v>115</v>
      </c>
      <c r="S29">
        <v>24</v>
      </c>
      <c r="T29">
        <v>93</v>
      </c>
      <c r="U29">
        <v>82</v>
      </c>
      <c r="V29">
        <v>69</v>
      </c>
      <c r="W29">
        <v>52</v>
      </c>
      <c r="X29">
        <v>54</v>
      </c>
      <c r="Y29">
        <v>0</v>
      </c>
      <c r="Z29">
        <f>(T29*U29*V29*W29*X29)^(1/5)</f>
        <v>68.219510526093529</v>
      </c>
      <c r="AA29" s="2">
        <v>24</v>
      </c>
      <c r="AB29" s="3">
        <v>36</v>
      </c>
      <c r="AC29" s="3">
        <v>35</v>
      </c>
      <c r="AD29">
        <f>(P29*Q29*Z29)^(1/3)</f>
        <v>49.085764853014929</v>
      </c>
      <c r="AE29" t="s">
        <v>132</v>
      </c>
      <c r="AH29">
        <f>0.65*J29</f>
        <v>20.8</v>
      </c>
      <c r="AI29" s="5">
        <f>1-(AH29^2/2025)</f>
        <v>0.78635061728395061</v>
      </c>
      <c r="AJ29">
        <f>G29-(2/3*L29)</f>
        <v>17.333333333333336</v>
      </c>
      <c r="AK29">
        <f>2*((5*AJ29)/(SQRT(((H29+AH29)/2)+AJ29)))</f>
        <v>24.456037413713979</v>
      </c>
      <c r="AL29">
        <f>AH29+AK29</f>
        <v>45.256037413713983</v>
      </c>
    </row>
    <row r="30" spans="1:38" x14ac:dyDescent="0.25">
      <c r="A30">
        <v>40</v>
      </c>
      <c r="B30" t="s">
        <v>27</v>
      </c>
      <c r="C30">
        <v>1000</v>
      </c>
      <c r="D30">
        <v>38</v>
      </c>
      <c r="E30">
        <v>0</v>
      </c>
      <c r="F30">
        <v>40</v>
      </c>
      <c r="G30">
        <v>68</v>
      </c>
      <c r="H30">
        <v>65</v>
      </c>
      <c r="I30">
        <v>38</v>
      </c>
      <c r="J30">
        <v>36</v>
      </c>
      <c r="K30">
        <v>45</v>
      </c>
      <c r="L30">
        <v>53</v>
      </c>
      <c r="M30">
        <v>37</v>
      </c>
      <c r="N30">
        <v>55</v>
      </c>
      <c r="O30">
        <v>40</v>
      </c>
      <c r="P30">
        <f>(L30*N30*O30)^(1/3)</f>
        <v>48.853931238696354</v>
      </c>
      <c r="Q30">
        <f>(F30*H30*K30)^(1/3)</f>
        <v>48.909732465087465</v>
      </c>
      <c r="R30" t="s">
        <v>111</v>
      </c>
      <c r="S30">
        <v>46</v>
      </c>
      <c r="T30">
        <v>55</v>
      </c>
      <c r="U30">
        <v>90</v>
      </c>
      <c r="V30">
        <v>20</v>
      </c>
      <c r="W30">
        <v>40</v>
      </c>
      <c r="X30">
        <v>71</v>
      </c>
      <c r="Y30">
        <v>0</v>
      </c>
      <c r="Z30">
        <f>(T30*U30*V30*W30*X30)^(1/5)</f>
        <v>48.954284442153117</v>
      </c>
      <c r="AA30" s="2">
        <v>21</v>
      </c>
      <c r="AB30" s="2">
        <v>20</v>
      </c>
      <c r="AC30" s="3">
        <v>49</v>
      </c>
      <c r="AD30">
        <f>(P30*Q30*Z30)^(1/3)</f>
        <v>48.905965482039093</v>
      </c>
      <c r="AE30" t="s">
        <v>132</v>
      </c>
      <c r="AH30">
        <f>0.65*J30</f>
        <v>23.400000000000002</v>
      </c>
      <c r="AI30" s="5">
        <f>1-(AH30^2/2025)</f>
        <v>0.72960000000000003</v>
      </c>
      <c r="AJ30">
        <f>G30-(2/3*L30)</f>
        <v>32.666666666666671</v>
      </c>
      <c r="AK30">
        <f>2*((5*AJ30)/(SQRT(((H30+AH30)/2)+AJ30)))</f>
        <v>37.259394836923505</v>
      </c>
      <c r="AL30">
        <f>AH30+AK30</f>
        <v>60.659394836923511</v>
      </c>
    </row>
    <row r="31" spans="1:38" x14ac:dyDescent="0.25">
      <c r="A31">
        <v>15</v>
      </c>
      <c r="B31" t="s">
        <v>30</v>
      </c>
      <c r="C31">
        <v>800</v>
      </c>
      <c r="D31">
        <v>33</v>
      </c>
      <c r="E31">
        <v>0</v>
      </c>
      <c r="F31">
        <v>25</v>
      </c>
      <c r="G31">
        <v>44</v>
      </c>
      <c r="H31">
        <v>30</v>
      </c>
      <c r="I31">
        <v>26</v>
      </c>
      <c r="J31">
        <v>24</v>
      </c>
      <c r="K31">
        <v>38</v>
      </c>
      <c r="L31">
        <v>48</v>
      </c>
      <c r="M31">
        <v>23</v>
      </c>
      <c r="N31">
        <v>53</v>
      </c>
      <c r="O31">
        <v>51</v>
      </c>
      <c r="P31">
        <f>(L31*N31*O31)^(1/3)</f>
        <v>50.624695928672054</v>
      </c>
      <c r="Q31">
        <f>(F31*H31*K31)^(1/3)</f>
        <v>30.545573721448037</v>
      </c>
      <c r="R31" t="s">
        <v>87</v>
      </c>
      <c r="S31">
        <v>21</v>
      </c>
      <c r="T31">
        <v>95</v>
      </c>
      <c r="U31">
        <v>81</v>
      </c>
      <c r="V31">
        <v>83</v>
      </c>
      <c r="W31">
        <v>46</v>
      </c>
      <c r="X31">
        <v>70</v>
      </c>
      <c r="Y31">
        <v>0</v>
      </c>
      <c r="Z31">
        <f>(T31*U31*V31*W31*X31)^(1/5)</f>
        <v>72.883382116408441</v>
      </c>
      <c r="AA31" s="2">
        <v>20</v>
      </c>
      <c r="AB31" s="3">
        <v>44</v>
      </c>
      <c r="AC31" s="2">
        <v>30</v>
      </c>
      <c r="AD31">
        <f>(P31*Q31*Z31)^(1/3)</f>
        <v>48.30362721438221</v>
      </c>
      <c r="AE31" t="s">
        <v>132</v>
      </c>
      <c r="AG31" t="s">
        <v>160</v>
      </c>
      <c r="AH31">
        <f>0.65*J31</f>
        <v>15.600000000000001</v>
      </c>
      <c r="AI31" s="5">
        <f>1-(AH31^2/2025)</f>
        <v>0.87982222222222217</v>
      </c>
      <c r="AJ31">
        <f>G31-(2/3*L31)</f>
        <v>12</v>
      </c>
      <c r="AK31">
        <f>2*((5*AJ31)/(SQRT(((H31+AH31)/2)+AJ31)))</f>
        <v>20.341905108624314</v>
      </c>
      <c r="AL31" s="3">
        <f>AH31+AK31</f>
        <v>35.941905108624312</v>
      </c>
    </row>
    <row r="32" spans="1:38" x14ac:dyDescent="0.25">
      <c r="A32">
        <v>31</v>
      </c>
      <c r="B32" t="s">
        <v>46</v>
      </c>
      <c r="C32">
        <v>1000</v>
      </c>
      <c r="D32">
        <v>42</v>
      </c>
      <c r="E32">
        <v>0</v>
      </c>
      <c r="F32">
        <v>40</v>
      </c>
      <c r="G32">
        <v>38</v>
      </c>
      <c r="H32">
        <v>36</v>
      </c>
      <c r="I32">
        <v>51</v>
      </c>
      <c r="J32">
        <v>50</v>
      </c>
      <c r="K32">
        <v>48</v>
      </c>
      <c r="L32">
        <v>38</v>
      </c>
      <c r="M32">
        <v>47</v>
      </c>
      <c r="N32">
        <v>31</v>
      </c>
      <c r="O32">
        <v>35</v>
      </c>
      <c r="P32">
        <f>(L32*N32*O32)^(1/3)</f>
        <v>34.546531066931053</v>
      </c>
      <c r="Q32">
        <f>(F32*H32*K32)^(1/3)</f>
        <v>41.039422720240729</v>
      </c>
      <c r="R32" t="s">
        <v>102</v>
      </c>
      <c r="S32">
        <v>11</v>
      </c>
      <c r="T32">
        <v>86</v>
      </c>
      <c r="U32">
        <v>52</v>
      </c>
      <c r="V32">
        <v>95</v>
      </c>
      <c r="W32">
        <v>61</v>
      </c>
      <c r="X32">
        <v>92</v>
      </c>
      <c r="Y32">
        <v>0</v>
      </c>
      <c r="Z32">
        <f>(T32*U32*V32*W32*X32)^(1/5)</f>
        <v>75.070379701015639</v>
      </c>
      <c r="AA32" s="3">
        <v>38</v>
      </c>
      <c r="AB32" s="2">
        <v>31</v>
      </c>
      <c r="AC32" s="2">
        <v>29</v>
      </c>
      <c r="AD32">
        <f>(P32*Q32*Z32)^(1/3)</f>
        <v>47.390515574190623</v>
      </c>
      <c r="AE32" t="s">
        <v>132</v>
      </c>
      <c r="AG32" t="s">
        <v>163</v>
      </c>
      <c r="AH32">
        <f>0.65*J32</f>
        <v>32.5</v>
      </c>
      <c r="AI32" s="4">
        <f>1-(AH32^2/2025)</f>
        <v>0.47839506172839508</v>
      </c>
      <c r="AJ32">
        <f>G32-(2/3*L32)</f>
        <v>12.666666666666668</v>
      </c>
      <c r="AK32">
        <f>2*((5*AJ32)/(SQRT(((H32+AH32)/2)+AJ32)))</f>
        <v>18.492633708592344</v>
      </c>
      <c r="AL32">
        <f>AH32+AK32</f>
        <v>50.992633708592344</v>
      </c>
    </row>
    <row r="33" spans="1:38" x14ac:dyDescent="0.25">
      <c r="A33">
        <v>18</v>
      </c>
      <c r="B33" t="s">
        <v>33</v>
      </c>
      <c r="C33">
        <v>800</v>
      </c>
      <c r="D33">
        <v>26</v>
      </c>
      <c r="E33">
        <v>0</v>
      </c>
      <c r="F33">
        <v>31</v>
      </c>
      <c r="G33">
        <v>38</v>
      </c>
      <c r="H33">
        <v>32</v>
      </c>
      <c r="I33">
        <v>46</v>
      </c>
      <c r="J33">
        <v>39</v>
      </c>
      <c r="K33">
        <v>28</v>
      </c>
      <c r="L33">
        <v>36</v>
      </c>
      <c r="M33">
        <v>34</v>
      </c>
      <c r="N33">
        <v>48</v>
      </c>
      <c r="O33">
        <v>40</v>
      </c>
      <c r="P33">
        <f>(L33*N33*O33)^(1/3)</f>
        <v>41.039422720240729</v>
      </c>
      <c r="Q33">
        <f>(F33*H33*K33)^(1/3)</f>
        <v>30.284697112763403</v>
      </c>
      <c r="R33" t="s">
        <v>33</v>
      </c>
      <c r="S33">
        <v>20</v>
      </c>
      <c r="T33">
        <v>85</v>
      </c>
      <c r="U33">
        <v>98</v>
      </c>
      <c r="V33">
        <v>112</v>
      </c>
      <c r="W33">
        <v>59</v>
      </c>
      <c r="X33">
        <v>79</v>
      </c>
      <c r="Y33">
        <v>0</v>
      </c>
      <c r="Z33">
        <f>(T33*U33*V33*W33*X33)^(1/5)</f>
        <v>84.658082089466177</v>
      </c>
      <c r="AA33" s="2">
        <v>30</v>
      </c>
      <c r="AB33" s="3">
        <v>45</v>
      </c>
      <c r="AC33" s="1">
        <v>16</v>
      </c>
      <c r="AD33">
        <f>(P33*Q33*Z33)^(1/3)</f>
        <v>47.209670326437561</v>
      </c>
      <c r="AE33" t="s">
        <v>132</v>
      </c>
      <c r="AH33">
        <f>0.65*J33</f>
        <v>25.35</v>
      </c>
      <c r="AI33" s="5">
        <f>1-(AH33^2/2025)</f>
        <v>0.68265555555555557</v>
      </c>
      <c r="AJ33">
        <f>G33-(2/3*L33)</f>
        <v>14</v>
      </c>
      <c r="AK33">
        <f>2*((5*AJ33)/(SQRT(((H33+AH33)/2)+AJ33)))</f>
        <v>21.430942486056374</v>
      </c>
      <c r="AL33">
        <f>AH33+AK33</f>
        <v>46.780942486056375</v>
      </c>
    </row>
    <row r="34" spans="1:38" x14ac:dyDescent="0.25">
      <c r="A34">
        <v>3</v>
      </c>
      <c r="B34" t="s">
        <v>18</v>
      </c>
      <c r="C34">
        <v>600</v>
      </c>
      <c r="D34">
        <v>58</v>
      </c>
      <c r="E34">
        <v>0</v>
      </c>
      <c r="F34">
        <v>46</v>
      </c>
      <c r="G34">
        <v>43</v>
      </c>
      <c r="H34">
        <v>41</v>
      </c>
      <c r="I34">
        <v>35</v>
      </c>
      <c r="J34">
        <v>38</v>
      </c>
      <c r="K34">
        <v>58</v>
      </c>
      <c r="L34">
        <v>33</v>
      </c>
      <c r="M34">
        <v>73</v>
      </c>
      <c r="N34">
        <v>48</v>
      </c>
      <c r="O34">
        <v>35</v>
      </c>
      <c r="P34">
        <f>(L34*N34*O34)^(1/3)</f>
        <v>38.130667436607148</v>
      </c>
      <c r="Q34">
        <f>(F34*H34*K34)^(1/3)</f>
        <v>47.825174207038515</v>
      </c>
      <c r="R34" t="s">
        <v>75</v>
      </c>
      <c r="S34">
        <v>26</v>
      </c>
      <c r="T34">
        <v>72</v>
      </c>
      <c r="U34">
        <v>52</v>
      </c>
      <c r="V34">
        <v>41</v>
      </c>
      <c r="W34">
        <v>68</v>
      </c>
      <c r="X34">
        <v>61</v>
      </c>
      <c r="Y34">
        <v>0</v>
      </c>
      <c r="Z34">
        <f>(T34*U34*V34*W34*X34)^(1/5)</f>
        <v>57.648988136954912</v>
      </c>
      <c r="AA34" s="3">
        <v>36</v>
      </c>
      <c r="AB34" s="2">
        <v>22</v>
      </c>
      <c r="AC34" s="3">
        <v>47</v>
      </c>
      <c r="AD34">
        <f>(P34*Q34*Z34)^(1/3)</f>
        <v>47.196256446220978</v>
      </c>
      <c r="AE34" t="s">
        <v>132</v>
      </c>
      <c r="AH34">
        <f>0.65*J34</f>
        <v>24.7</v>
      </c>
      <c r="AI34" s="5">
        <f>1-(AH34^2/2025)</f>
        <v>0.698720987654321</v>
      </c>
      <c r="AJ34">
        <f>G34-(2/3*L34)</f>
        <v>21</v>
      </c>
      <c r="AK34">
        <f>2*((5*AJ34)/(SQRT(((H34+AH34)/2)+AJ34)))</f>
        <v>28.61715401954347</v>
      </c>
      <c r="AL34">
        <f>AH34+AK34</f>
        <v>53.317154019543466</v>
      </c>
    </row>
    <row r="35" spans="1:38" x14ac:dyDescent="0.25">
      <c r="A35">
        <v>47</v>
      </c>
      <c r="B35" t="s">
        <v>61</v>
      </c>
      <c r="C35">
        <v>800</v>
      </c>
      <c r="D35">
        <v>35</v>
      </c>
      <c r="E35">
        <v>0</v>
      </c>
      <c r="F35">
        <v>32</v>
      </c>
      <c r="G35">
        <v>68</v>
      </c>
      <c r="H35">
        <v>63</v>
      </c>
      <c r="I35">
        <v>50</v>
      </c>
      <c r="J35">
        <v>45</v>
      </c>
      <c r="K35">
        <v>43</v>
      </c>
      <c r="L35">
        <v>28</v>
      </c>
      <c r="M35">
        <v>39</v>
      </c>
      <c r="N35">
        <v>31</v>
      </c>
      <c r="O35">
        <v>25</v>
      </c>
      <c r="P35">
        <f>(L35*N35*O35)^(1/3)</f>
        <v>27.892444522550992</v>
      </c>
      <c r="Q35">
        <f>(F35*H35*K35)^(1/3)</f>
        <v>44.257443926268863</v>
      </c>
      <c r="R35" t="s">
        <v>118</v>
      </c>
      <c r="S35">
        <v>39</v>
      </c>
      <c r="T35">
        <v>76</v>
      </c>
      <c r="U35">
        <v>59</v>
      </c>
      <c r="V35">
        <v>85</v>
      </c>
      <c r="W35">
        <v>82</v>
      </c>
      <c r="X35">
        <v>88</v>
      </c>
      <c r="Y35">
        <v>0</v>
      </c>
      <c r="Z35">
        <f>(T35*U35*V35*W35*X35)^(1/5)</f>
        <v>77.246037540252928</v>
      </c>
      <c r="AA35" s="3">
        <v>43</v>
      </c>
      <c r="AB35" s="2">
        <v>26</v>
      </c>
      <c r="AC35" s="2">
        <v>27</v>
      </c>
      <c r="AD35">
        <f>(P35*Q35*Z35)^(1/3)</f>
        <v>45.685989841288418</v>
      </c>
      <c r="AE35" t="s">
        <v>132</v>
      </c>
      <c r="AH35">
        <f>0.65*J35</f>
        <v>29.25</v>
      </c>
      <c r="AI35" s="5">
        <f>1-(AH35^2/2025)</f>
        <v>0.57750000000000001</v>
      </c>
      <c r="AJ35">
        <f>G35-(2/3*L35)</f>
        <v>49.333333333333336</v>
      </c>
      <c r="AK35">
        <f>2*((5*AJ35)/(SQRT(((H35+AH35)/2)+AJ35)))</f>
        <v>50.493274643541781</v>
      </c>
      <c r="AL35">
        <f>AH35+AK35</f>
        <v>79.743274643541781</v>
      </c>
    </row>
    <row r="36" spans="1:38" x14ac:dyDescent="0.25">
      <c r="A36">
        <v>28</v>
      </c>
      <c r="B36" t="s">
        <v>43</v>
      </c>
      <c r="C36">
        <v>1000</v>
      </c>
      <c r="D36">
        <v>43</v>
      </c>
      <c r="E36">
        <v>0</v>
      </c>
      <c r="F36">
        <v>36</v>
      </c>
      <c r="G36">
        <v>21</v>
      </c>
      <c r="H36">
        <v>22</v>
      </c>
      <c r="I36">
        <v>38</v>
      </c>
      <c r="J36">
        <v>32</v>
      </c>
      <c r="K36">
        <v>39</v>
      </c>
      <c r="L36">
        <v>39</v>
      </c>
      <c r="M36">
        <v>36</v>
      </c>
      <c r="N36">
        <v>39</v>
      </c>
      <c r="O36">
        <v>48</v>
      </c>
      <c r="P36">
        <f>(L36*N36*O36)^(1/3)</f>
        <v>41.794918607295678</v>
      </c>
      <c r="Q36">
        <f>(F36*H36*K36)^(1/3)</f>
        <v>31.375929190535899</v>
      </c>
      <c r="R36" t="s">
        <v>99</v>
      </c>
      <c r="S36">
        <v>49</v>
      </c>
      <c r="T36">
        <v>81</v>
      </c>
      <c r="U36">
        <v>88</v>
      </c>
      <c r="V36">
        <v>69</v>
      </c>
      <c r="W36">
        <v>52</v>
      </c>
      <c r="X36">
        <v>68</v>
      </c>
      <c r="Y36">
        <v>0</v>
      </c>
      <c r="Z36">
        <f>(T36*U36*V36*W36*X36)^(1/5)</f>
        <v>70.479985754101975</v>
      </c>
      <c r="AA36" s="2">
        <v>29</v>
      </c>
      <c r="AB36" s="3">
        <v>42</v>
      </c>
      <c r="AC36" s="2">
        <v>33</v>
      </c>
      <c r="AD36">
        <f>(P36*Q36*Z36)^(1/3)</f>
        <v>45.212858205541089</v>
      </c>
      <c r="AE36" t="s">
        <v>131</v>
      </c>
      <c r="AH36">
        <f>0.65*J36</f>
        <v>20.8</v>
      </c>
      <c r="AI36" s="5">
        <f>1-(AH36^2/2025)</f>
        <v>0.78635061728395061</v>
      </c>
      <c r="AJ36" s="3">
        <f>G36-(2/3*L36)</f>
        <v>-5</v>
      </c>
      <c r="AK36">
        <f>2*((5*AJ36)/(SQRT(((H36+AH36)/2)+AJ36)))</f>
        <v>-12.346619958119872</v>
      </c>
      <c r="AL36" s="3">
        <f>AH36+AK36</f>
        <v>8.4533800418801288</v>
      </c>
    </row>
    <row r="37" spans="1:38" x14ac:dyDescent="0.25">
      <c r="A37">
        <v>41</v>
      </c>
      <c r="B37" t="s">
        <v>55</v>
      </c>
      <c r="C37">
        <v>800</v>
      </c>
      <c r="D37">
        <v>31</v>
      </c>
      <c r="E37">
        <v>0</v>
      </c>
      <c r="F37">
        <v>31</v>
      </c>
      <c r="G37">
        <v>67</v>
      </c>
      <c r="H37">
        <v>63</v>
      </c>
      <c r="I37">
        <v>36</v>
      </c>
      <c r="J37">
        <v>35</v>
      </c>
      <c r="K37">
        <v>40</v>
      </c>
      <c r="L37">
        <v>37</v>
      </c>
      <c r="M37">
        <v>33</v>
      </c>
      <c r="N37">
        <v>35</v>
      </c>
      <c r="O37">
        <v>30</v>
      </c>
      <c r="P37">
        <f>(L37*N37*O37)^(1/3)</f>
        <v>33.868581501117909</v>
      </c>
      <c r="Q37">
        <f>(F37*H37*K37)^(1/3)</f>
        <v>42.748486660289423</v>
      </c>
      <c r="R37" t="s">
        <v>112</v>
      </c>
      <c r="S37">
        <v>32</v>
      </c>
      <c r="T37">
        <v>92</v>
      </c>
      <c r="U37">
        <v>58</v>
      </c>
      <c r="V37">
        <v>41</v>
      </c>
      <c r="W37">
        <v>48</v>
      </c>
      <c r="X37">
        <v>85</v>
      </c>
      <c r="Y37">
        <v>0</v>
      </c>
      <c r="Z37">
        <f>(T37*U37*V37*W37*X37)^(1/5)</f>
        <v>61.678239374741828</v>
      </c>
      <c r="AA37" s="3">
        <v>39</v>
      </c>
      <c r="AB37" s="2">
        <v>27</v>
      </c>
      <c r="AC37" s="3">
        <v>40</v>
      </c>
      <c r="AD37">
        <f>(P37*Q37*Z37)^(1/3)</f>
        <v>44.697500740044838</v>
      </c>
      <c r="AE37" t="s">
        <v>131</v>
      </c>
      <c r="AH37">
        <f>0.65*J37</f>
        <v>22.75</v>
      </c>
      <c r="AI37" s="5">
        <f>1-(AH37^2/2025)</f>
        <v>0.74441358024691362</v>
      </c>
      <c r="AJ37">
        <f>G37-(2/3*L37)</f>
        <v>42.333333333333336</v>
      </c>
      <c r="AK37">
        <f>2*((5*AJ37)/(SQRT(((H37+AH37)/2)+AJ37)))</f>
        <v>45.860779364775084</v>
      </c>
      <c r="AL37">
        <f>AH37+AK37</f>
        <v>68.610779364775084</v>
      </c>
    </row>
    <row r="38" spans="1:38" x14ac:dyDescent="0.25">
      <c r="A38">
        <v>16</v>
      </c>
      <c r="B38" t="s">
        <v>31</v>
      </c>
      <c r="C38">
        <v>800</v>
      </c>
      <c r="D38">
        <v>28</v>
      </c>
      <c r="E38">
        <v>0</v>
      </c>
      <c r="F38">
        <v>22</v>
      </c>
      <c r="G38">
        <v>31</v>
      </c>
      <c r="H38">
        <v>26</v>
      </c>
      <c r="I38">
        <v>53</v>
      </c>
      <c r="J38">
        <v>48</v>
      </c>
      <c r="K38">
        <v>53</v>
      </c>
      <c r="L38">
        <v>27</v>
      </c>
      <c r="M38">
        <v>46</v>
      </c>
      <c r="N38">
        <v>51</v>
      </c>
      <c r="O38">
        <v>45</v>
      </c>
      <c r="P38">
        <f>(L38*N38*O38)^(1/3)</f>
        <v>39.57146704942361</v>
      </c>
      <c r="Q38">
        <f>(F38*H38*K38)^(1/3)</f>
        <v>31.181042614718599</v>
      </c>
      <c r="R38" t="s">
        <v>88</v>
      </c>
      <c r="S38">
        <v>22</v>
      </c>
      <c r="T38">
        <v>102</v>
      </c>
      <c r="U38">
        <v>60</v>
      </c>
      <c r="V38">
        <v>51</v>
      </c>
      <c r="W38">
        <v>78</v>
      </c>
      <c r="X38">
        <v>69</v>
      </c>
      <c r="Y38">
        <v>0</v>
      </c>
      <c r="Z38">
        <f>(T38*U38*V38*W38*X38)^(1/5)</f>
        <v>69.99275018524375</v>
      </c>
      <c r="AA38" s="3">
        <v>34</v>
      </c>
      <c r="AB38" s="3">
        <v>43</v>
      </c>
      <c r="AC38" s="3">
        <v>34</v>
      </c>
      <c r="AD38">
        <f>(P38*Q38*Z38)^(1/3)</f>
        <v>44.20200277383686</v>
      </c>
      <c r="AE38" t="s">
        <v>131</v>
      </c>
      <c r="AH38">
        <f>0.65*J38</f>
        <v>31.200000000000003</v>
      </c>
      <c r="AI38" s="5">
        <f>1-(AH38^2/2025)</f>
        <v>0.5192888888888888</v>
      </c>
      <c r="AJ38">
        <f>G38-(2/3*L38)</f>
        <v>13</v>
      </c>
      <c r="AK38">
        <f>2*((5*AJ38)/(SQRT(((H38+AH38)/2)+AJ38)))</f>
        <v>20.155644370746373</v>
      </c>
      <c r="AL38">
        <f>AH38+AK38</f>
        <v>51.355644370746376</v>
      </c>
    </row>
    <row r="39" spans="1:38" x14ac:dyDescent="0.25">
      <c r="A39">
        <v>22</v>
      </c>
      <c r="B39" t="s">
        <v>37</v>
      </c>
      <c r="C39">
        <v>800</v>
      </c>
      <c r="D39">
        <v>29</v>
      </c>
      <c r="E39">
        <v>0</v>
      </c>
      <c r="F39">
        <v>31</v>
      </c>
      <c r="G39">
        <v>25</v>
      </c>
      <c r="H39">
        <v>28</v>
      </c>
      <c r="I39">
        <v>21</v>
      </c>
      <c r="J39">
        <v>31</v>
      </c>
      <c r="K39">
        <v>22</v>
      </c>
      <c r="L39">
        <v>38</v>
      </c>
      <c r="M39">
        <v>21</v>
      </c>
      <c r="N39">
        <v>48</v>
      </c>
      <c r="O39">
        <v>45</v>
      </c>
      <c r="P39">
        <f>(L39*N39*O39)^(1/3)</f>
        <v>43.458938660650439</v>
      </c>
      <c r="Q39">
        <f>(F39*H39*K39)^(1/3)</f>
        <v>26.728882509474577</v>
      </c>
      <c r="R39" t="s">
        <v>93</v>
      </c>
      <c r="S39">
        <v>33</v>
      </c>
      <c r="T39">
        <v>96</v>
      </c>
      <c r="U39">
        <v>93</v>
      </c>
      <c r="V39">
        <v>77</v>
      </c>
      <c r="W39">
        <v>31</v>
      </c>
      <c r="X39">
        <v>92</v>
      </c>
      <c r="Y39">
        <v>0</v>
      </c>
      <c r="Z39">
        <f>(T39*U39*V39*W39*X39)^(1/5)</f>
        <v>72.190306479738268</v>
      </c>
      <c r="AA39" s="2">
        <v>28</v>
      </c>
      <c r="AB39" s="3">
        <v>49</v>
      </c>
      <c r="AC39" s="2">
        <v>31</v>
      </c>
      <c r="AD39">
        <f>(P39*Q39*Z39)^(1/3)</f>
        <v>43.770307852044496</v>
      </c>
      <c r="AE39" t="s">
        <v>131</v>
      </c>
      <c r="AG39" t="s">
        <v>164</v>
      </c>
      <c r="AH39">
        <f>0.65*J39</f>
        <v>20.150000000000002</v>
      </c>
      <c r="AI39" s="5">
        <f>1-(AH39^2/2025)</f>
        <v>0.79949506172839502</v>
      </c>
      <c r="AJ39" s="3">
        <f>G39-(2/3*L39)</f>
        <v>-0.33333333333333215</v>
      </c>
      <c r="AK39">
        <f>2*((5*AJ39)/(SQRT(((H39+AH39)/2)+AJ39)))</f>
        <v>-0.68410559711236441</v>
      </c>
      <c r="AL39" s="3">
        <f>AH39+AK39</f>
        <v>19.465894402887638</v>
      </c>
    </row>
    <row r="40" spans="1:38" x14ac:dyDescent="0.25">
      <c r="A40">
        <v>34</v>
      </c>
      <c r="B40" t="s">
        <v>49</v>
      </c>
      <c r="C40">
        <v>1000</v>
      </c>
      <c r="D40">
        <v>38</v>
      </c>
      <c r="E40">
        <v>0</v>
      </c>
      <c r="F40">
        <v>31</v>
      </c>
      <c r="G40">
        <v>26</v>
      </c>
      <c r="H40">
        <v>23</v>
      </c>
      <c r="I40">
        <v>21</v>
      </c>
      <c r="J40">
        <v>27</v>
      </c>
      <c r="K40">
        <v>31</v>
      </c>
      <c r="L40">
        <v>50</v>
      </c>
      <c r="M40">
        <v>26</v>
      </c>
      <c r="N40">
        <v>48</v>
      </c>
      <c r="O40">
        <v>45</v>
      </c>
      <c r="P40">
        <f>(L40*N40*O40)^(1/3)</f>
        <v>47.622031559045986</v>
      </c>
      <c r="Q40">
        <f>(F40*H40*K40)^(1/3)</f>
        <v>28.064054035694891</v>
      </c>
      <c r="R40" t="s">
        <v>105</v>
      </c>
      <c r="S40">
        <v>12</v>
      </c>
      <c r="T40">
        <v>91</v>
      </c>
      <c r="U40">
        <v>85</v>
      </c>
      <c r="V40">
        <v>75</v>
      </c>
      <c r="W40">
        <v>41</v>
      </c>
      <c r="X40">
        <v>36</v>
      </c>
      <c r="Y40">
        <v>0</v>
      </c>
      <c r="Z40">
        <f>(T40*U40*V40*W40*X40)^(1/5)</f>
        <v>61.167620722062914</v>
      </c>
      <c r="AA40" s="2">
        <v>23</v>
      </c>
      <c r="AB40" s="3">
        <v>47</v>
      </c>
      <c r="AC40" s="3">
        <v>41</v>
      </c>
      <c r="AD40">
        <f>(P40*Q40*Z40)^(1/3)</f>
        <v>43.400357280256955</v>
      </c>
      <c r="AE40" t="s">
        <v>131</v>
      </c>
      <c r="AH40">
        <f>0.65*J40</f>
        <v>17.55</v>
      </c>
      <c r="AI40" s="5">
        <f>1-(AH40^2/2025)</f>
        <v>0.84789999999999999</v>
      </c>
      <c r="AJ40" s="3">
        <f>G40-(2/3*L40)</f>
        <v>-7.3333333333333286</v>
      </c>
      <c r="AK40">
        <f>2*((5*AJ40)/(SQRT(((H40+AH40)/2)+AJ40)))</f>
        <v>-20.384793729911316</v>
      </c>
      <c r="AL40" s="3">
        <f>AH40+AK40</f>
        <v>-2.8347937299113148</v>
      </c>
    </row>
    <row r="41" spans="1:38" x14ac:dyDescent="0.25">
      <c r="A41">
        <v>43</v>
      </c>
      <c r="B41" t="s">
        <v>57</v>
      </c>
      <c r="C41">
        <v>800</v>
      </c>
      <c r="D41">
        <v>36</v>
      </c>
      <c r="E41">
        <v>0</v>
      </c>
      <c r="F41">
        <v>38</v>
      </c>
      <c r="G41">
        <v>42</v>
      </c>
      <c r="H41">
        <v>39</v>
      </c>
      <c r="I41">
        <v>41</v>
      </c>
      <c r="J41">
        <v>49</v>
      </c>
      <c r="K41">
        <v>47</v>
      </c>
      <c r="L41">
        <v>31</v>
      </c>
      <c r="M41">
        <v>48</v>
      </c>
      <c r="N41">
        <v>30</v>
      </c>
      <c r="O41">
        <v>28</v>
      </c>
      <c r="P41">
        <f>(L41*N41*O41)^(1/3)</f>
        <v>29.640145187339392</v>
      </c>
      <c r="Q41">
        <f>(F41*H41*K41)^(1/3)</f>
        <v>41.144837729830826</v>
      </c>
      <c r="R41" t="s">
        <v>114</v>
      </c>
      <c r="S41">
        <v>17</v>
      </c>
      <c r="T41">
        <v>65</v>
      </c>
      <c r="U41">
        <v>53</v>
      </c>
      <c r="V41">
        <v>49</v>
      </c>
      <c r="W41">
        <v>67</v>
      </c>
      <c r="X41">
        <v>71</v>
      </c>
      <c r="Y41">
        <v>0</v>
      </c>
      <c r="Z41">
        <f>(T41*U41*V41*W41*X41)^(1/5)</f>
        <v>60.387032947828224</v>
      </c>
      <c r="AA41" s="3">
        <v>41</v>
      </c>
      <c r="AB41" s="2">
        <v>30</v>
      </c>
      <c r="AC41" s="3">
        <v>43</v>
      </c>
      <c r="AD41">
        <f>(P41*Q41*Z41)^(1/3)</f>
        <v>41.915996042052711</v>
      </c>
      <c r="AE41" t="s">
        <v>131</v>
      </c>
      <c r="AH41">
        <f>0.65*J41</f>
        <v>31.85</v>
      </c>
      <c r="AI41" s="4">
        <f>1-(AH41^2/2025)</f>
        <v>0.4990506172839505</v>
      </c>
      <c r="AJ41">
        <f>G41-(2/3*L41)</f>
        <v>21.333333333333336</v>
      </c>
      <c r="AK41">
        <f>2*((5*AJ41)/(SQRT(((H41+AH41)/2)+AJ41)))</f>
        <v>28.31678231234336</v>
      </c>
      <c r="AL41">
        <f>AH41+AK41</f>
        <v>60.166782312343358</v>
      </c>
    </row>
    <row r="42" spans="1:38" x14ac:dyDescent="0.25">
      <c r="A42">
        <v>37</v>
      </c>
      <c r="B42" t="s">
        <v>52</v>
      </c>
      <c r="C42">
        <v>1000</v>
      </c>
      <c r="D42">
        <v>32</v>
      </c>
      <c r="E42">
        <v>0</v>
      </c>
      <c r="F42">
        <v>30</v>
      </c>
      <c r="G42">
        <v>35</v>
      </c>
      <c r="H42">
        <v>31</v>
      </c>
      <c r="I42">
        <v>59</v>
      </c>
      <c r="J42">
        <v>58</v>
      </c>
      <c r="K42">
        <v>60</v>
      </c>
      <c r="L42">
        <v>28</v>
      </c>
      <c r="M42">
        <v>56</v>
      </c>
      <c r="N42">
        <v>28</v>
      </c>
      <c r="O42">
        <v>32</v>
      </c>
      <c r="P42">
        <f>(L42*N42*O42)^(1/3)</f>
        <v>29.27444568018376</v>
      </c>
      <c r="Q42">
        <f>(F42*H42*K42)^(1/3)</f>
        <v>38.213023345661199</v>
      </c>
      <c r="R42" t="s">
        <v>108</v>
      </c>
      <c r="S42">
        <v>30</v>
      </c>
      <c r="T42">
        <v>70</v>
      </c>
      <c r="U42">
        <v>43</v>
      </c>
      <c r="V42">
        <v>61</v>
      </c>
      <c r="W42">
        <v>76</v>
      </c>
      <c r="X42">
        <v>88</v>
      </c>
      <c r="Y42">
        <v>0</v>
      </c>
      <c r="Z42">
        <f>(T42*U42*V42*W42*X42)^(1/5)</f>
        <v>65.741335002314315</v>
      </c>
      <c r="AA42" s="3">
        <v>42</v>
      </c>
      <c r="AB42" s="3">
        <v>35</v>
      </c>
      <c r="AC42" s="3">
        <v>38</v>
      </c>
      <c r="AD42">
        <f>(P42*Q42*Z42)^(1/3)</f>
        <v>41.896672597886344</v>
      </c>
      <c r="AE42" t="s">
        <v>131</v>
      </c>
      <c r="AH42">
        <f>0.65*J42</f>
        <v>37.700000000000003</v>
      </c>
      <c r="AI42" s="4">
        <f>1-(AH42^2/2025)</f>
        <v>0.29812839506172828</v>
      </c>
      <c r="AJ42">
        <f>G42-(2/3*L42)</f>
        <v>16.333333333333336</v>
      </c>
      <c r="AK42">
        <f>2*((5*AJ42)/(SQRT(((H42+AH42)/2)+AJ42)))</f>
        <v>22.942579243483667</v>
      </c>
      <c r="AL42">
        <f>AH42+AK42</f>
        <v>60.642579243483667</v>
      </c>
    </row>
    <row r="43" spans="1:38" x14ac:dyDescent="0.25">
      <c r="A43">
        <v>2</v>
      </c>
      <c r="B43" t="s">
        <v>17</v>
      </c>
      <c r="C43">
        <v>600</v>
      </c>
      <c r="D43">
        <v>25</v>
      </c>
      <c r="E43">
        <v>0</v>
      </c>
      <c r="F43">
        <v>25</v>
      </c>
      <c r="G43">
        <v>36</v>
      </c>
      <c r="H43">
        <v>45</v>
      </c>
      <c r="I43">
        <v>39</v>
      </c>
      <c r="J43">
        <v>41</v>
      </c>
      <c r="K43">
        <v>33</v>
      </c>
      <c r="L43">
        <v>24</v>
      </c>
      <c r="M43">
        <v>60</v>
      </c>
      <c r="N43">
        <v>21</v>
      </c>
      <c r="O43">
        <v>38</v>
      </c>
      <c r="P43">
        <f>(L43*N43*O43)^(1/3)</f>
        <v>26.754984950387627</v>
      </c>
      <c r="Q43">
        <f>(F43*H43*K43)^(1/3)</f>
        <v>33.359701358539731</v>
      </c>
      <c r="R43" t="s">
        <v>74</v>
      </c>
      <c r="S43">
        <v>62</v>
      </c>
      <c r="T43">
        <v>63</v>
      </c>
      <c r="U43">
        <v>102</v>
      </c>
      <c r="V43">
        <v>88</v>
      </c>
      <c r="W43">
        <v>73</v>
      </c>
      <c r="X43">
        <v>81</v>
      </c>
      <c r="Y43">
        <v>0</v>
      </c>
      <c r="Z43">
        <f>(T43*U43*V43*W43*X43)^(1/5)</f>
        <v>80.324171451339637</v>
      </c>
      <c r="AA43" s="3">
        <v>44</v>
      </c>
      <c r="AB43" s="3">
        <v>39</v>
      </c>
      <c r="AC43" s="2">
        <v>24</v>
      </c>
      <c r="AD43">
        <f>(P43*Q43*Z43)^(1/3)</f>
        <v>41.542348035729233</v>
      </c>
      <c r="AE43" t="s">
        <v>131</v>
      </c>
      <c r="AH43">
        <f>0.65*J43</f>
        <v>26.650000000000002</v>
      </c>
      <c r="AI43" s="5">
        <f>1-(AH43^2/2025)</f>
        <v>0.64927283950617287</v>
      </c>
      <c r="AJ43">
        <f>G43-(2/3*L43)</f>
        <v>20</v>
      </c>
      <c r="AK43">
        <f>2*((5*AJ43)/(SQRT(((H43+AH43)/2)+AJ43)))</f>
        <v>26.767981889860298</v>
      </c>
      <c r="AL43">
        <f>AH43+AK43</f>
        <v>53.4179818898603</v>
      </c>
    </row>
    <row r="44" spans="1:38" x14ac:dyDescent="0.25">
      <c r="A44">
        <v>7</v>
      </c>
      <c r="B44" t="s">
        <v>22</v>
      </c>
      <c r="C44">
        <v>600</v>
      </c>
      <c r="D44">
        <v>35</v>
      </c>
      <c r="E44">
        <v>0</v>
      </c>
      <c r="F44">
        <v>41</v>
      </c>
      <c r="G44">
        <v>33</v>
      </c>
      <c r="H44">
        <v>46</v>
      </c>
      <c r="I44">
        <v>38</v>
      </c>
      <c r="J44">
        <v>43</v>
      </c>
      <c r="K44">
        <v>41</v>
      </c>
      <c r="L44">
        <v>27</v>
      </c>
      <c r="M44">
        <v>33</v>
      </c>
      <c r="N44">
        <v>30</v>
      </c>
      <c r="O44">
        <v>21</v>
      </c>
      <c r="P44">
        <f>(L44*N44*O44)^(1/3)</f>
        <v>25.717856646940188</v>
      </c>
      <c r="Q44">
        <f>(F44*H44*K44)^(1/3)</f>
        <v>42.603163452470966</v>
      </c>
      <c r="R44" t="s">
        <v>79</v>
      </c>
      <c r="S44">
        <v>27</v>
      </c>
      <c r="T44">
        <v>108</v>
      </c>
      <c r="U44">
        <v>45</v>
      </c>
      <c r="V44">
        <v>51</v>
      </c>
      <c r="W44">
        <v>75</v>
      </c>
      <c r="X44">
        <v>64</v>
      </c>
      <c r="Y44">
        <v>0</v>
      </c>
      <c r="Z44">
        <f>(T44*U44*V44*W44*X44)^(1/5)</f>
        <v>65.326521952804427</v>
      </c>
      <c r="AA44" s="3">
        <v>46</v>
      </c>
      <c r="AB44" s="2">
        <v>28</v>
      </c>
      <c r="AC44" s="3">
        <v>39</v>
      </c>
      <c r="AD44">
        <f>(P44*Q44*Z44)^(1/3)</f>
        <v>41.519812669000316</v>
      </c>
      <c r="AE44" t="s">
        <v>133</v>
      </c>
      <c r="AH44">
        <f>0.65*J44</f>
        <v>27.95</v>
      </c>
      <c r="AI44" s="5">
        <f>1-(AH44^2/2025)</f>
        <v>0.61422098765432098</v>
      </c>
      <c r="AJ44">
        <f>G44-(2/3*L44)</f>
        <v>15</v>
      </c>
      <c r="AK44">
        <f>2*((5*AJ44)/(SQRT(((H44+AH44)/2)+AJ44)))</f>
        <v>20.806259464411976</v>
      </c>
      <c r="AL44">
        <f>AH44+AK44</f>
        <v>48.756259464411976</v>
      </c>
    </row>
    <row r="45" spans="1:38" x14ac:dyDescent="0.25">
      <c r="A45">
        <v>1</v>
      </c>
      <c r="B45" t="s">
        <v>16</v>
      </c>
      <c r="C45">
        <v>600</v>
      </c>
      <c r="D45">
        <v>24</v>
      </c>
      <c r="E45">
        <v>0</v>
      </c>
      <c r="F45">
        <v>22</v>
      </c>
      <c r="G45">
        <v>28</v>
      </c>
      <c r="H45">
        <v>30</v>
      </c>
      <c r="I45">
        <v>58</v>
      </c>
      <c r="J45">
        <v>48</v>
      </c>
      <c r="K45">
        <v>62</v>
      </c>
      <c r="L45">
        <v>26</v>
      </c>
      <c r="M45">
        <v>41</v>
      </c>
      <c r="N45">
        <v>23</v>
      </c>
      <c r="O45">
        <v>22</v>
      </c>
      <c r="P45">
        <f>(L45*N45*O45)^(1/3)</f>
        <v>23.60702653936691</v>
      </c>
      <c r="Q45">
        <f>(F45*H45*K45)^(1/3)</f>
        <v>34.459730371842724</v>
      </c>
      <c r="R45" t="s">
        <v>73</v>
      </c>
      <c r="S45">
        <v>10</v>
      </c>
      <c r="T45">
        <v>102</v>
      </c>
      <c r="U45">
        <v>98</v>
      </c>
      <c r="V45">
        <v>74</v>
      </c>
      <c r="W45">
        <v>69</v>
      </c>
      <c r="X45">
        <v>72</v>
      </c>
      <c r="Y45">
        <v>0</v>
      </c>
      <c r="Z45">
        <f>(T45*U45*V45*W45*X45)^(1/5)</f>
        <v>81.855508521523731</v>
      </c>
      <c r="AA45" s="3">
        <v>49</v>
      </c>
      <c r="AB45" s="3">
        <v>37</v>
      </c>
      <c r="AC45" s="2">
        <v>20</v>
      </c>
      <c r="AD45">
        <f>(P45*Q45*Z45)^(1/3)</f>
        <v>40.532216902458998</v>
      </c>
      <c r="AE45" t="s">
        <v>133</v>
      </c>
      <c r="AH45">
        <f>0.65*J45</f>
        <v>31.200000000000003</v>
      </c>
      <c r="AI45" s="5">
        <f>1-(AH45^2/2025)</f>
        <v>0.5192888888888888</v>
      </c>
      <c r="AJ45">
        <f>G45-(2/3*L45)</f>
        <v>10.666666666666668</v>
      </c>
      <c r="AK45">
        <f>2*((5*AJ45)/(SQRT(((H45+AH45)/2)+AJ45)))</f>
        <v>16.604623344850086</v>
      </c>
      <c r="AL45">
        <f>AH45+AK45</f>
        <v>47.804623344850086</v>
      </c>
    </row>
    <row r="46" spans="1:38" x14ac:dyDescent="0.25">
      <c r="A46">
        <v>48</v>
      </c>
      <c r="B46" t="s">
        <v>62</v>
      </c>
      <c r="C46">
        <v>800</v>
      </c>
      <c r="D46">
        <v>30</v>
      </c>
      <c r="E46">
        <v>0</v>
      </c>
      <c r="F46">
        <v>26</v>
      </c>
      <c r="G46">
        <v>28</v>
      </c>
      <c r="H46">
        <v>31</v>
      </c>
      <c r="I46">
        <v>49</v>
      </c>
      <c r="J46">
        <v>48</v>
      </c>
      <c r="K46">
        <v>50</v>
      </c>
      <c r="L46">
        <v>36</v>
      </c>
      <c r="M46">
        <v>35</v>
      </c>
      <c r="N46">
        <v>32</v>
      </c>
      <c r="O46">
        <v>27</v>
      </c>
      <c r="P46">
        <f>(L46*N46*O46)^(1/3)</f>
        <v>31.448896730506746</v>
      </c>
      <c r="Q46">
        <f>(F46*H46*K46)^(1/3)</f>
        <v>34.284804870058188</v>
      </c>
      <c r="R46" t="s">
        <v>119</v>
      </c>
      <c r="S46">
        <v>48</v>
      </c>
      <c r="T46">
        <v>96</v>
      </c>
      <c r="U46">
        <v>48</v>
      </c>
      <c r="V46">
        <v>56</v>
      </c>
      <c r="W46">
        <v>61</v>
      </c>
      <c r="X46">
        <v>43</v>
      </c>
      <c r="Y46">
        <v>0</v>
      </c>
      <c r="Z46">
        <f>(T46*U46*V46*W46*X46)^(1/5)</f>
        <v>58.357913722206199</v>
      </c>
      <c r="AA46" s="3">
        <v>40</v>
      </c>
      <c r="AB46" s="3">
        <v>38</v>
      </c>
      <c r="AC46" s="3">
        <v>45</v>
      </c>
      <c r="AD46">
        <f>(P46*Q46*Z46)^(1/3)</f>
        <v>39.774276150054355</v>
      </c>
      <c r="AE46" t="s">
        <v>133</v>
      </c>
      <c r="AH46">
        <f>0.65*J46</f>
        <v>31.200000000000003</v>
      </c>
      <c r="AI46" s="5">
        <f>1-(AH46^2/2025)</f>
        <v>0.5192888888888888</v>
      </c>
      <c r="AJ46">
        <f>G46-(2/3*L46)</f>
        <v>4</v>
      </c>
      <c r="AK46">
        <f>2*((5*AJ46)/(SQRT(((H46+AH46)/2)+AJ46)))</f>
        <v>6.7515957805577775</v>
      </c>
      <c r="AL46" s="3">
        <f>AH46+AK46</f>
        <v>37.951595780557781</v>
      </c>
    </row>
    <row r="47" spans="1:38" x14ac:dyDescent="0.25">
      <c r="A47">
        <v>35</v>
      </c>
      <c r="B47" t="s">
        <v>50</v>
      </c>
      <c r="C47">
        <v>1000</v>
      </c>
      <c r="D47">
        <v>21</v>
      </c>
      <c r="E47">
        <v>0</v>
      </c>
      <c r="F47">
        <v>24</v>
      </c>
      <c r="G47">
        <v>22</v>
      </c>
      <c r="H47">
        <v>26</v>
      </c>
      <c r="I47">
        <v>25</v>
      </c>
      <c r="J47">
        <v>20</v>
      </c>
      <c r="K47">
        <v>28</v>
      </c>
      <c r="L47">
        <v>41</v>
      </c>
      <c r="M47">
        <v>23</v>
      </c>
      <c r="N47">
        <v>43</v>
      </c>
      <c r="O47">
        <v>36</v>
      </c>
      <c r="P47">
        <f>(L47*N47*O47)^(1/3)</f>
        <v>39.888858139856687</v>
      </c>
      <c r="Q47">
        <f>(F47*H47*K47)^(1/3)</f>
        <v>25.948616466865399</v>
      </c>
      <c r="R47" t="s">
        <v>106</v>
      </c>
      <c r="S47">
        <v>6</v>
      </c>
      <c r="T47">
        <v>84</v>
      </c>
      <c r="U47">
        <v>63</v>
      </c>
      <c r="V47">
        <v>22</v>
      </c>
      <c r="W47">
        <v>35</v>
      </c>
      <c r="X47">
        <v>63</v>
      </c>
      <c r="Y47">
        <v>0</v>
      </c>
      <c r="Z47">
        <f>(T47*U47*V47*W47*X47)^(1/5)</f>
        <v>48.071782054698353</v>
      </c>
      <c r="AA47" s="2">
        <v>33</v>
      </c>
      <c r="AB47" s="3">
        <v>50</v>
      </c>
      <c r="AC47" s="3">
        <v>50</v>
      </c>
      <c r="AD47">
        <f>(P47*Q47*Z47)^(1/3)</f>
        <v>36.780588839017298</v>
      </c>
      <c r="AE47" t="s">
        <v>133</v>
      </c>
      <c r="AH47">
        <f>0.65*J47</f>
        <v>13</v>
      </c>
      <c r="AI47" s="5">
        <f>1-(AH47^2/2025)</f>
        <v>0.91654320987654325</v>
      </c>
      <c r="AJ47" s="3">
        <f>G47-(2/3*L47)</f>
        <v>-5.3333333333333321</v>
      </c>
      <c r="AK47">
        <f>2*((5*AJ47)/(SQRT(((H47+AH47)/2)+AJ47)))</f>
        <v>-14.169838168641521</v>
      </c>
      <c r="AL47" s="3">
        <f>AH47+AK47</f>
        <v>-1.1698381686415207</v>
      </c>
    </row>
    <row r="48" spans="1:38" x14ac:dyDescent="0.25">
      <c r="A48">
        <v>27</v>
      </c>
      <c r="B48" t="s">
        <v>42</v>
      </c>
      <c r="C48">
        <v>1000</v>
      </c>
      <c r="D48">
        <v>36</v>
      </c>
      <c r="E48">
        <v>0</v>
      </c>
      <c r="F48">
        <v>38</v>
      </c>
      <c r="G48">
        <v>24</v>
      </c>
      <c r="H48">
        <v>21</v>
      </c>
      <c r="I48">
        <v>42</v>
      </c>
      <c r="J48">
        <v>46</v>
      </c>
      <c r="K48">
        <v>45</v>
      </c>
      <c r="L48">
        <v>21</v>
      </c>
      <c r="M48">
        <v>45</v>
      </c>
      <c r="N48">
        <v>26</v>
      </c>
      <c r="O48">
        <v>27</v>
      </c>
      <c r="P48">
        <f>(L48*N48*O48)^(1/3)</f>
        <v>24.519906076689331</v>
      </c>
      <c r="Q48">
        <f>(F48*H48*K48)^(1/3)</f>
        <v>32.991733466587988</v>
      </c>
      <c r="R48" t="s">
        <v>98</v>
      </c>
      <c r="S48">
        <v>39</v>
      </c>
      <c r="T48">
        <v>90</v>
      </c>
      <c r="U48">
        <v>36</v>
      </c>
      <c r="V48">
        <v>52</v>
      </c>
      <c r="W48">
        <v>60</v>
      </c>
      <c r="X48">
        <v>81</v>
      </c>
      <c r="Y48">
        <v>0</v>
      </c>
      <c r="Z48">
        <f>(T48*U48*V48*W48*X48)^(1/5)</f>
        <v>60.622930273266903</v>
      </c>
      <c r="AA48" s="3">
        <v>48</v>
      </c>
      <c r="AB48" s="3">
        <v>40</v>
      </c>
      <c r="AC48" s="3">
        <v>42</v>
      </c>
      <c r="AD48">
        <f>(P48*Q48*Z48)^(1/3)</f>
        <v>36.60330387601212</v>
      </c>
      <c r="AE48" t="s">
        <v>133</v>
      </c>
      <c r="AG48" t="s">
        <v>158</v>
      </c>
      <c r="AH48">
        <f>0.65*J48</f>
        <v>29.900000000000002</v>
      </c>
      <c r="AI48" s="5">
        <f>1-(AH48^2/2025)</f>
        <v>0.55851358024691355</v>
      </c>
      <c r="AJ48">
        <f>G48-(2/3*L48)</f>
        <v>10</v>
      </c>
      <c r="AK48">
        <f>2*((5*AJ48)/(SQRT(((H48+AH48)/2)+AJ48)))</f>
        <v>16.795459121697256</v>
      </c>
      <c r="AL48">
        <f>AH48+AK48</f>
        <v>46.695459121697255</v>
      </c>
    </row>
    <row r="49" spans="1:38" x14ac:dyDescent="0.25">
      <c r="A49">
        <v>0</v>
      </c>
      <c r="B49" t="s">
        <v>15</v>
      </c>
      <c r="C49">
        <v>0</v>
      </c>
      <c r="D49">
        <v>22</v>
      </c>
      <c r="E49">
        <v>0</v>
      </c>
      <c r="F49">
        <v>26</v>
      </c>
      <c r="G49">
        <v>33</v>
      </c>
      <c r="H49">
        <v>27</v>
      </c>
      <c r="I49">
        <v>46</v>
      </c>
      <c r="J49">
        <v>69</v>
      </c>
      <c r="K49">
        <v>48</v>
      </c>
      <c r="L49">
        <v>23</v>
      </c>
      <c r="M49">
        <v>36</v>
      </c>
      <c r="N49">
        <v>28</v>
      </c>
      <c r="O49">
        <v>25</v>
      </c>
      <c r="P49">
        <f>(L49*N49*O49)^(1/3)</f>
        <v>25.250808718338494</v>
      </c>
      <c r="Q49">
        <f>(F49*H49*K49)^(1/3)</f>
        <v>32.299275672523692</v>
      </c>
      <c r="R49" t="s">
        <v>72</v>
      </c>
      <c r="S49">
        <v>11</v>
      </c>
      <c r="T49">
        <v>106</v>
      </c>
      <c r="U49">
        <v>30</v>
      </c>
      <c r="V49">
        <v>75</v>
      </c>
      <c r="W49">
        <v>61</v>
      </c>
      <c r="X49">
        <v>52</v>
      </c>
      <c r="Y49">
        <v>0</v>
      </c>
      <c r="Z49">
        <f>(T49*U49*V49*W49*X49)^(1/5)</f>
        <v>59.671136896124281</v>
      </c>
      <c r="AA49" s="3">
        <v>47</v>
      </c>
      <c r="AB49" s="3">
        <v>41</v>
      </c>
      <c r="AC49" s="3">
        <v>44</v>
      </c>
      <c r="AD49">
        <f>(P49*Q49*Z49)^(1/3)</f>
        <v>36.509912814781927</v>
      </c>
      <c r="AE49" t="s">
        <v>133</v>
      </c>
      <c r="AH49">
        <f>0.65*J49</f>
        <v>44.85</v>
      </c>
      <c r="AI49" s="4">
        <f>1-(AH49^2/2025)</f>
        <v>6.6555555555555257E-3</v>
      </c>
      <c r="AJ49">
        <f>G49-(2/3*L49)</f>
        <v>17.666666666666668</v>
      </c>
      <c r="AK49">
        <f>2*((5*AJ49)/(SQRT(((H49+AH49)/2)+AJ49)))</f>
        <v>24.132703835081315</v>
      </c>
      <c r="AL49">
        <f>AH49+AK49</f>
        <v>68.98270383508131</v>
      </c>
    </row>
    <row r="50" spans="1:38" x14ac:dyDescent="0.25">
      <c r="A50">
        <v>11</v>
      </c>
      <c r="B50" t="s">
        <v>26</v>
      </c>
      <c r="C50">
        <v>800</v>
      </c>
      <c r="D50">
        <v>36</v>
      </c>
      <c r="E50">
        <v>0</v>
      </c>
      <c r="F50">
        <v>21</v>
      </c>
      <c r="G50">
        <v>25</v>
      </c>
      <c r="H50">
        <v>26</v>
      </c>
      <c r="I50">
        <v>38</v>
      </c>
      <c r="J50">
        <v>23</v>
      </c>
      <c r="K50">
        <v>36</v>
      </c>
      <c r="L50">
        <v>25</v>
      </c>
      <c r="M50">
        <v>31</v>
      </c>
      <c r="N50">
        <v>28</v>
      </c>
      <c r="O50">
        <v>27</v>
      </c>
      <c r="P50">
        <f>(L50*N50*O50)^(1/3)</f>
        <v>26.637120052278018</v>
      </c>
      <c r="Q50">
        <f>(F50*H50*K50)^(1/3)</f>
        <v>26.98764867165249</v>
      </c>
      <c r="R50" t="s">
        <v>83</v>
      </c>
      <c r="S50">
        <v>17</v>
      </c>
      <c r="T50">
        <v>77</v>
      </c>
      <c r="U50">
        <v>59</v>
      </c>
      <c r="V50">
        <v>75</v>
      </c>
      <c r="W50">
        <v>31</v>
      </c>
      <c r="X50">
        <v>64</v>
      </c>
      <c r="Y50">
        <v>0</v>
      </c>
      <c r="Z50">
        <f>(T50*U50*V50*W50*X50)^(1/5)</f>
        <v>58.343050619347103</v>
      </c>
      <c r="AA50" s="3">
        <v>45</v>
      </c>
      <c r="AB50" s="3">
        <v>48</v>
      </c>
      <c r="AC50" s="3">
        <v>46</v>
      </c>
      <c r="AD50">
        <f>(P50*Q50*Z50)^(1/3)</f>
        <v>34.744053345362339</v>
      </c>
      <c r="AE50" t="s">
        <v>133</v>
      </c>
      <c r="AH50">
        <f>0.65*J50</f>
        <v>14.950000000000001</v>
      </c>
      <c r="AI50" s="5">
        <f>1-(AH50^2/2025)</f>
        <v>0.88962839506172842</v>
      </c>
      <c r="AJ50">
        <f>G50-(2/3*L50)</f>
        <v>8.3333333333333357</v>
      </c>
      <c r="AK50">
        <f>2*((5*AJ50)/(SQRT(((H50+AH50)/2)+AJ50)))</f>
        <v>15.526003767242434</v>
      </c>
      <c r="AL50" s="3">
        <f>AH50+AK50</f>
        <v>30.476003767242435</v>
      </c>
    </row>
    <row r="51" spans="1:38" x14ac:dyDescent="0.25">
      <c r="A51">
        <v>29</v>
      </c>
      <c r="B51" t="s">
        <v>44</v>
      </c>
      <c r="C51">
        <v>1000</v>
      </c>
      <c r="D51">
        <v>26</v>
      </c>
      <c r="E51">
        <v>0</v>
      </c>
      <c r="F51">
        <v>24</v>
      </c>
      <c r="G51">
        <v>38</v>
      </c>
      <c r="H51">
        <v>33</v>
      </c>
      <c r="I51">
        <v>21</v>
      </c>
      <c r="J51">
        <v>27</v>
      </c>
      <c r="K51">
        <v>31</v>
      </c>
      <c r="L51">
        <v>20</v>
      </c>
      <c r="M51">
        <v>27</v>
      </c>
      <c r="N51">
        <v>21</v>
      </c>
      <c r="O51">
        <v>22</v>
      </c>
      <c r="P51">
        <f>(L51*N51*O51)^(1/3)</f>
        <v>20.984114971245344</v>
      </c>
      <c r="Q51">
        <f>(F51*H51*K51)^(1/3)</f>
        <v>29.064462233102955</v>
      </c>
      <c r="R51" t="s">
        <v>100</v>
      </c>
      <c r="S51">
        <v>31</v>
      </c>
      <c r="T51">
        <v>76</v>
      </c>
      <c r="U51">
        <v>52</v>
      </c>
      <c r="V51">
        <v>49</v>
      </c>
      <c r="W51">
        <v>28</v>
      </c>
      <c r="X51">
        <v>71</v>
      </c>
      <c r="Y51">
        <v>0</v>
      </c>
      <c r="Z51">
        <f>(T51*U51*V51*W51*X51)^(1/5)</f>
        <v>52.1297784510447</v>
      </c>
      <c r="AA51" s="3">
        <v>50</v>
      </c>
      <c r="AB51" s="3">
        <v>46</v>
      </c>
      <c r="AC51" s="3">
        <v>48</v>
      </c>
      <c r="AD51">
        <f>(P51*Q51*Z51)^(1/3)</f>
        <v>31.679594163974976</v>
      </c>
      <c r="AE51" t="s">
        <v>133</v>
      </c>
      <c r="AH51">
        <f>0.65*J51</f>
        <v>17.55</v>
      </c>
      <c r="AI51" s="5">
        <f>1-(AH51^2/2025)</f>
        <v>0.84789999999999999</v>
      </c>
      <c r="AJ51">
        <f>G51-(2/3*L51)</f>
        <v>24.666666666666668</v>
      </c>
      <c r="AK51">
        <f>2*((5*AJ51)/(SQRT(((H51+AH51)/2)+AJ51)))</f>
        <v>34.904301323020519</v>
      </c>
      <c r="AL51">
        <f>AH51+AK51</f>
        <v>52.454301323020516</v>
      </c>
    </row>
  </sheetData>
  <autoFilter ref="A1:AL51" xr:uid="{C0EA501B-F4E9-40F5-BCE6-EA7716C70CE7}">
    <sortState xmlns:xlrd2="http://schemas.microsoft.com/office/spreadsheetml/2017/richdata2" ref="A2:AL51">
      <sortCondition descending="1" ref="AD1:AD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50Fief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Isaacson</cp:lastModifiedBy>
  <dcterms:created xsi:type="dcterms:W3CDTF">2026-05-19T21:44:05Z</dcterms:created>
  <dcterms:modified xsi:type="dcterms:W3CDTF">2026-05-29T17:18:21Z</dcterms:modified>
</cp:coreProperties>
</file>